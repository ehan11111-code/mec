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حسابات شركة طاهي الشرق الاوسط\ملفات مرسلة الي ايهان\"/>
    </mc:Choice>
  </mc:AlternateContent>
  <xr:revisionPtr revIDLastSave="0" documentId="13_ncr:1_{5BD6DB79-24C9-4ACE-AEEA-CF231AFB91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ورقة1" sheetId="1" r:id="rId1"/>
  </sheets>
  <definedNames>
    <definedName name="_xlnm._FilterDatabase" localSheetId="0" hidden="1">ورقة1!$A$3:$U$292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0" i="1" l="1"/>
  <c r="AU297" i="1" l="1"/>
  <c r="AV297" i="1"/>
  <c r="D334" i="1" s="1"/>
  <c r="AT297" i="1"/>
  <c r="D333" i="1" s="1"/>
  <c r="AR297" i="1"/>
  <c r="D332" i="1" s="1"/>
  <c r="AS297" i="1"/>
  <c r="E332" i="1" s="1"/>
  <c r="AN297" i="1"/>
  <c r="D328" i="1" s="1"/>
  <c r="AO297" i="1"/>
  <c r="D329" i="1" s="1"/>
  <c r="AP297" i="1"/>
  <c r="D330" i="1" s="1"/>
  <c r="AQ297" i="1"/>
  <c r="D331" i="1" s="1"/>
  <c r="AK297" i="1" l="1"/>
  <c r="D324" i="1" s="1"/>
  <c r="AL297" i="1"/>
  <c r="D325" i="1" s="1"/>
  <c r="AM297" i="1"/>
  <c r="D326" i="1" s="1"/>
  <c r="P187" i="1"/>
  <c r="P297" i="1" s="1"/>
  <c r="E314" i="1" s="1"/>
  <c r="AH297" i="1"/>
  <c r="D321" i="1" s="1"/>
  <c r="AI297" i="1"/>
  <c r="D322" i="1" s="1"/>
  <c r="AJ297" i="1"/>
  <c r="D323" i="1" s="1"/>
  <c r="AG297" i="1"/>
  <c r="E320" i="1" s="1"/>
  <c r="AF297" i="1"/>
  <c r="D320" i="1" s="1"/>
  <c r="O297" i="1"/>
  <c r="Q297" i="1"/>
  <c r="R297" i="1"/>
  <c r="AE297" i="1" l="1"/>
  <c r="D319" i="1" s="1"/>
  <c r="AD297" i="1"/>
  <c r="D327" i="1" s="1"/>
  <c r="Z297" i="1" l="1"/>
  <c r="D336" i="1" s="1"/>
  <c r="AA297" i="1"/>
  <c r="D337" i="1" s="1"/>
  <c r="AB297" i="1"/>
  <c r="D335" i="1" s="1"/>
  <c r="AC297" i="1"/>
  <c r="F306" i="1" l="1"/>
  <c r="D300" i="1"/>
  <c r="G297" i="1" l="1"/>
  <c r="D309" i="1" s="1"/>
  <c r="F297" i="1"/>
  <c r="V297" i="1"/>
  <c r="W297" i="1"/>
  <c r="X297" i="1"/>
  <c r="Y297" i="1"/>
  <c r="U4" i="1"/>
  <c r="U297" i="1" s="1"/>
  <c r="T4" i="1"/>
  <c r="T297" i="1" s="1"/>
  <c r="S4" i="1"/>
  <c r="S297" i="1" s="1"/>
  <c r="D316" i="1" l="1"/>
  <c r="D317" i="1"/>
  <c r="D318" i="1"/>
  <c r="D315" i="1"/>
  <c r="M297" i="1"/>
  <c r="E297" i="1"/>
  <c r="H300" i="1"/>
  <c r="I300" i="1"/>
  <c r="J300" i="1"/>
  <c r="K300" i="1"/>
  <c r="L300" i="1"/>
  <c r="P300" i="1"/>
  <c r="D313" i="1" l="1"/>
  <c r="D314" i="1"/>
  <c r="E299" i="1"/>
  <c r="N13" i="1"/>
  <c r="N300" i="1" s="1"/>
  <c r="P299" i="1" l="1"/>
  <c r="D297" i="1"/>
  <c r="D299" i="1" s="1"/>
  <c r="I297" i="1"/>
  <c r="J297" i="1"/>
  <c r="J299" i="1" s="1"/>
  <c r="K297" i="1"/>
  <c r="D312" i="1" s="1"/>
  <c r="L297" i="1"/>
  <c r="N297" i="1"/>
  <c r="K299" i="1" l="1"/>
  <c r="N299" i="1"/>
  <c r="E313" i="1"/>
  <c r="L299" i="1"/>
  <c r="I299" i="1"/>
  <c r="D311" i="1"/>
  <c r="H4" i="1"/>
  <c r="H297" i="1" s="1"/>
  <c r="H299" i="1" l="1"/>
  <c r="D310" i="1"/>
  <c r="G338" i="1" s="1"/>
</calcChain>
</file>

<file path=xl/sharedStrings.xml><?xml version="1.0" encoding="utf-8"?>
<sst xmlns="http://schemas.openxmlformats.org/spreadsheetml/2006/main" count="440" uniqueCount="151">
  <si>
    <t>شاورما دجاج لارا  2.5ك</t>
  </si>
  <si>
    <t>صدور دجاج برازيلي مجمد</t>
  </si>
  <si>
    <t>شاورما نور روسي بالك 15ك</t>
  </si>
  <si>
    <t>بوبي فيل هندي الكامل 23 وزن 18ك</t>
  </si>
  <si>
    <t>فيل ليج هندي الكامل 18ك</t>
  </si>
  <si>
    <t>فيليه عجل هندي الكامل 18ك</t>
  </si>
  <si>
    <t>تندر ليون برازيلي منيرفا</t>
  </si>
  <si>
    <t>التاريخ</t>
  </si>
  <si>
    <t>البيان</t>
  </si>
  <si>
    <t>رقم الفاتورة</t>
  </si>
  <si>
    <t>شركة سامح العربية للوجبات</t>
  </si>
  <si>
    <t>مطعم طارق منشو</t>
  </si>
  <si>
    <t>شركة امدادات الطعام</t>
  </si>
  <si>
    <t>شركة الامل التجارية</t>
  </si>
  <si>
    <t>شركة دجاج اسيا  لخدمات الاعاشة</t>
  </si>
  <si>
    <t>مؤسسة كنز المحيط</t>
  </si>
  <si>
    <t>شركة المرجان المتقدمة للتجارة</t>
  </si>
  <si>
    <t>شركة منار النجوم المحدودة</t>
  </si>
  <si>
    <t>مؤسسة خالد سعود سعد السفري</t>
  </si>
  <si>
    <t>شركة الزاهر الوطنية التجارية</t>
  </si>
  <si>
    <t>أنور</t>
  </si>
  <si>
    <t>بدون</t>
  </si>
  <si>
    <t>صافي رصيد كمية المخزون</t>
  </si>
  <si>
    <t>Inventory</t>
  </si>
  <si>
    <t>مطعم انفاس اكابر لتقديم الوجبات</t>
  </si>
  <si>
    <t>قيمة المخزون</t>
  </si>
  <si>
    <t>توب سايد برازيلي مينرفا</t>
  </si>
  <si>
    <t>سعر الشراء بدون إضافة تكاليف النقل والتخزين</t>
  </si>
  <si>
    <t>مؤسسة كنز المحيط للتجارة</t>
  </si>
  <si>
    <t>شركة الطعام الموحد للمواد الغذائية</t>
  </si>
  <si>
    <t>مطعم البيت الجاوي</t>
  </si>
  <si>
    <t>شركة زاد نعمة للتجارة</t>
  </si>
  <si>
    <t>اجمالي الكمية المباعة</t>
  </si>
  <si>
    <t>تالف</t>
  </si>
  <si>
    <t>الوزن بالكيلو</t>
  </si>
  <si>
    <t>العدد بالكرتون</t>
  </si>
  <si>
    <t>عميل كاش بدون رقم ضريبي</t>
  </si>
  <si>
    <t>شركة محمد عمر بالخير للتجارة</t>
  </si>
  <si>
    <t>مؤسسة غدير الشرق التجارية</t>
  </si>
  <si>
    <t>مؤسسة جوهرة الحياة التجارية</t>
  </si>
  <si>
    <t>شركة الامجاد الدولي المحدودة</t>
  </si>
  <si>
    <t>فور كوارتر هندي عنبر</t>
  </si>
  <si>
    <t>ثك فلانك هندي عنبر</t>
  </si>
  <si>
    <t>مانجو بريمير</t>
  </si>
  <si>
    <t>شركة بن حوفان للتجارة</t>
  </si>
  <si>
    <t>شركة ورد العربية التجارية</t>
  </si>
  <si>
    <t>شركة مسارات النهضة للتجارة</t>
  </si>
  <si>
    <t>شركة الامل للتجارة</t>
  </si>
  <si>
    <t>شركة فكرة شرق الوسط التجارية</t>
  </si>
  <si>
    <t>الأغذية المتميزة</t>
  </si>
  <si>
    <t>بن بادي</t>
  </si>
  <si>
    <t>شركة رضوي العربية لانتاج الدواجن</t>
  </si>
  <si>
    <t>شركة اورفكس</t>
  </si>
  <si>
    <t>شركة ثلاجة عالم القمة</t>
  </si>
  <si>
    <t>مؤسسة طيبات الخليج</t>
  </si>
  <si>
    <t>الصنف</t>
  </si>
  <si>
    <t>الكمية بالكرتون</t>
  </si>
  <si>
    <t>الكمية ال كجم</t>
  </si>
  <si>
    <t>شركة يوسف عبدالرحمن الحفيتي</t>
  </si>
  <si>
    <t>شركة حلول ألفا للتجارة والمقاولات</t>
  </si>
  <si>
    <t>فاتورة مبسطة</t>
  </si>
  <si>
    <t>طلبية سامح</t>
  </si>
  <si>
    <t>مشتريات</t>
  </si>
  <si>
    <t>المورد شركة نور الباسقات</t>
  </si>
  <si>
    <t>ثك فلانك ثمره * 20ك</t>
  </si>
  <si>
    <t>رامب ستيك هندي ثمره*20ك</t>
  </si>
  <si>
    <t>سيلفر سايد هندي ثمره *20ك</t>
  </si>
  <si>
    <t>توب سايد ثمره*20ك</t>
  </si>
  <si>
    <t>المورد شركة مدا الغذاء</t>
  </si>
  <si>
    <t>شركة مزارع طيبة الغذائية</t>
  </si>
  <si>
    <t>شركة الزاهرالوطنية التجارية</t>
  </si>
  <si>
    <t>شركة وحدة الغذاء لتجارة الأغذية</t>
  </si>
  <si>
    <t>شركة مجمدات الريف التجارية</t>
  </si>
  <si>
    <t>الشركة الاهرام المتحدة للتجارة</t>
  </si>
  <si>
    <t>بداية ونهاية</t>
  </si>
  <si>
    <t>المورد نور الباسقات</t>
  </si>
  <si>
    <t>المورد شركة دجاج كواليكو</t>
  </si>
  <si>
    <t>دجاج كواليكو 10*900جرام</t>
  </si>
  <si>
    <t>دجاج كواليكو 10*1000جرام</t>
  </si>
  <si>
    <t>شركة الأطعمة الشرقية الغربية للخدمات الغذائية</t>
  </si>
  <si>
    <t>شركة حلول سلك</t>
  </si>
  <si>
    <t>شركة نخبة الأفضل المتحدة التجارية</t>
  </si>
  <si>
    <t>بطاطس مايسترو</t>
  </si>
  <si>
    <t>مؤسسة خالد علي بن سعيد العرفجي</t>
  </si>
  <si>
    <t>فيل ليج هندي الكامل</t>
  </si>
  <si>
    <t>شركة ثلاجة هاجر التجارية</t>
  </si>
  <si>
    <t>بوبي فيل هندي منت</t>
  </si>
  <si>
    <t>شركة بداية ونهاية الجودة</t>
  </si>
  <si>
    <t>مؤسسة امجد محمد قاسم الاهدل التجارية</t>
  </si>
  <si>
    <t>مطاعم طارق منشو</t>
  </si>
  <si>
    <t>24-11-2025</t>
  </si>
  <si>
    <t>15-11-2025</t>
  </si>
  <si>
    <t>المتبقي لشركة سامح</t>
  </si>
  <si>
    <t>مؤسسة علي بن رافع بن علي الشمراني</t>
  </si>
  <si>
    <t>مؤسسة مطعم نور الحلبي لتقديم الوجبات</t>
  </si>
  <si>
    <t>تندر لاين هندي ALM</t>
  </si>
  <si>
    <t>شركة صالح منصر العمودي</t>
  </si>
  <si>
    <t>فيل ليج هندي العالي 18ك</t>
  </si>
  <si>
    <t>شركة الشيف الاسيوي لتقديم الوجبات</t>
  </si>
  <si>
    <t>شركة قيمة العالمية للتجارة شركة شخص واحد</t>
  </si>
  <si>
    <t>شركة الزاهر الوطنية التجارية شركة شخص واحد</t>
  </si>
  <si>
    <t>شركة الثلاجة الذهبية التجارية</t>
  </si>
  <si>
    <t>شركة بن بادي</t>
  </si>
  <si>
    <t>عجل مقطع نيوزلاندي افيكو 6 قطع</t>
  </si>
  <si>
    <t>مؤسسة فخر الاطعمه للتجارة</t>
  </si>
  <si>
    <t>رصيد المخزون حتي</t>
  </si>
  <si>
    <t>بوبي فيل هندي نواكو</t>
  </si>
  <si>
    <t>فيل ليج هندي نواكو</t>
  </si>
  <si>
    <t>تندر ليون فيليه نواكو</t>
  </si>
  <si>
    <t>شركة المنارة الشاهقة للتجارة</t>
  </si>
  <si>
    <t>شركة اللحم الذهبي العالمي</t>
  </si>
  <si>
    <t>مؤسسة امدادت الطعام التجارية</t>
  </si>
  <si>
    <t>ملحمة ماجد احمد حامد طوري للحوم</t>
  </si>
  <si>
    <t>مؤسسة علي بن رافع الشمراني</t>
  </si>
  <si>
    <t>شركة يوسف عبدالرحمن الحفيتي للتجارة</t>
  </si>
  <si>
    <t>شركة جسور النرجس</t>
  </si>
  <si>
    <t>شركة الزاهر الوطنية للتجارة</t>
  </si>
  <si>
    <t>شركة التوريد المميز المحدودة</t>
  </si>
  <si>
    <t>تندر ليون هندي الكامل</t>
  </si>
  <si>
    <t>توب سايد هندي الكامل</t>
  </si>
  <si>
    <t>فور كوارتر هندي الكامل</t>
  </si>
  <si>
    <t>سلفر سايد هندي الكامل</t>
  </si>
  <si>
    <t>رامب ستيك هندي الكامل</t>
  </si>
  <si>
    <t>ثك فلانك هندي الكامل</t>
  </si>
  <si>
    <t>شركة الرضوان التجارية</t>
  </si>
  <si>
    <t>تكلفة شراء</t>
  </si>
  <si>
    <t>القيمة</t>
  </si>
  <si>
    <t>مؤسسة نور الباسقات</t>
  </si>
  <si>
    <t>فور كوارتر برازيلي</t>
  </si>
  <si>
    <t>15-12-2025</t>
  </si>
  <si>
    <t>مؤسسة إسكندر كباب</t>
  </si>
  <si>
    <t>مؤسسة محمد عبدالعزيز احمد الزيلعي</t>
  </si>
  <si>
    <t>لحم تندر ليون المارية</t>
  </si>
  <si>
    <t>شركة بوابة بلقيس</t>
  </si>
  <si>
    <t>مؤسسة خالد سعود السفري</t>
  </si>
  <si>
    <t>سلايس</t>
  </si>
  <si>
    <t>كرتون جوافة مجمدة</t>
  </si>
  <si>
    <t>تندر ليون 99 فارم ميت</t>
  </si>
  <si>
    <t>تموينات خيرات رهاط للمواد الغذائية</t>
  </si>
  <si>
    <t>تسوية رصيد مخزون</t>
  </si>
  <si>
    <t>شركة الأغذية المتميزة التجارية</t>
  </si>
  <si>
    <t>شركة بيور فريز</t>
  </si>
  <si>
    <t>شركة سراج الأطعمة للتجارة والاستيراد</t>
  </si>
  <si>
    <t>شركة المحصول الفاخر للتجارة</t>
  </si>
  <si>
    <t>شركة يوجن انترناشونال</t>
  </si>
  <si>
    <t>شركة حدائق الاندلس</t>
  </si>
  <si>
    <t xml:space="preserve">فور كوارتر سلايس هندي الكامل </t>
  </si>
  <si>
    <t>بدل تالف شاورما باقي طلبية سامح</t>
  </si>
  <si>
    <t>مرتجع من فا 1218</t>
  </si>
  <si>
    <t>شركة غذاء اليوم للنقل والتخزين</t>
  </si>
  <si>
    <t>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</si>
</sst>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5" fillId="3" borderId="1" xfId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6" fontId="0" fillId="6" borderId="1" xfId="0" applyNumberForma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3" fontId="5" fillId="3" borderId="8" xfId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5" fontId="3" fillId="5" borderId="0" xfId="0" applyNumberFormat="1" applyFont="1" applyFill="1"/>
    <xf numFmtId="14" fontId="0" fillId="0" borderId="0" xfId="0" applyNumberFormat="1" applyAlignment="1">
      <alignment horizontal="left"/>
    </xf>
    <xf numFmtId="16" fontId="0" fillId="0" borderId="6" xfId="0" applyNumberFormat="1" applyBorder="1" applyAlignment="1">
      <alignment horizontal="center"/>
    </xf>
    <xf numFmtId="14" fontId="0" fillId="0" borderId="0" xfId="0" applyNumberFormat="1"/>
    <xf numFmtId="4" fontId="3" fillId="5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" fontId="0" fillId="5" borderId="1" xfId="0" quotePrefix="1" applyNumberFormat="1" applyFill="1" applyBorder="1" applyAlignment="1">
      <alignment horizontal="center"/>
    </xf>
    <xf numFmtId="16" fontId="0" fillId="10" borderId="1" xfId="0" applyNumberForma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5" borderId="5" xfId="0" applyFont="1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39"/>
  <sheetViews>
    <sheetView rightToLeft="1" tabSelected="1" zoomScale="90" zoomScaleNormal="90" workbookViewId="0">
      <pane ySplit="3" topLeftCell="A296" activePane="bottomLeft" state="frozen"/>
      <selection pane="bottomLeft" activeCell="F330" sqref="F330"/>
    </sheetView>
  </sheetViews>
  <sheetFormatPr defaultRowHeight="14.4" x14ac:dyDescent="0.3"/>
  <cols>
    <col min="1" max="1" width="10.88671875" bestFit="1" customWidth="1"/>
    <col min="2" max="2" width="8.21875" bestFit="1" customWidth="1"/>
    <col min="3" max="3" width="34.109375" bestFit="1" customWidth="1"/>
    <col min="4" max="7" width="16.33203125" customWidth="1"/>
    <col min="8" max="8" width="24.44140625" customWidth="1"/>
    <col min="9" max="9" width="18.109375" customWidth="1"/>
    <col min="10" max="10" width="19.21875" customWidth="1"/>
    <col min="11" max="11" width="18.88671875" customWidth="1"/>
    <col min="12" max="12" width="21" customWidth="1"/>
    <col min="13" max="13" width="12.33203125" customWidth="1"/>
    <col min="14" max="15" width="15.5546875" customWidth="1"/>
    <col min="16" max="16" width="16.33203125" customWidth="1"/>
    <col min="17" max="17" width="12.33203125" customWidth="1"/>
    <col min="18" max="18" width="15.5546875" customWidth="1"/>
    <col min="19" max="22" width="16.33203125" customWidth="1"/>
    <col min="23" max="23" width="20.77734375" customWidth="1"/>
    <col min="24" max="24" width="20.5546875" customWidth="1"/>
    <col min="25" max="25" width="16.33203125" customWidth="1"/>
    <col min="26" max="26" width="19.33203125" customWidth="1"/>
    <col min="27" max="31" width="20.33203125" customWidth="1"/>
    <col min="32" max="32" width="13.44140625" customWidth="1"/>
    <col min="33" max="33" width="13.33203125" customWidth="1"/>
    <col min="34" max="37" width="20.33203125" customWidth="1"/>
    <col min="38" max="38" width="22.21875" customWidth="1"/>
    <col min="39" max="39" width="20.33203125" customWidth="1"/>
    <col min="40" max="43" width="20.33203125" bestFit="1" customWidth="1"/>
    <col min="44" max="44" width="14.21875" customWidth="1"/>
    <col min="45" max="45" width="13.5546875" customWidth="1"/>
    <col min="46" max="48" width="20.33203125" bestFit="1" customWidth="1"/>
  </cols>
  <sheetData>
    <row r="1" spans="1:48" ht="18" x14ac:dyDescent="0.35">
      <c r="F1" s="10" t="s">
        <v>61</v>
      </c>
      <c r="G1" s="10"/>
      <c r="I1" s="9" t="s">
        <v>23</v>
      </c>
      <c r="M1" s="64" t="s">
        <v>50</v>
      </c>
      <c r="N1" s="64"/>
      <c r="O1" s="64" t="s">
        <v>50</v>
      </c>
      <c r="P1" s="64"/>
      <c r="Q1" s="62" t="s">
        <v>49</v>
      </c>
      <c r="R1" s="62"/>
      <c r="S1" s="4"/>
      <c r="T1" s="4"/>
      <c r="U1" s="12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T1" s="4"/>
      <c r="AU1" s="4"/>
      <c r="AV1" s="4"/>
    </row>
    <row r="2" spans="1:48" x14ac:dyDescent="0.3">
      <c r="D2" s="10" t="s">
        <v>49</v>
      </c>
      <c r="E2" s="10" t="s">
        <v>49</v>
      </c>
      <c r="F2" s="10" t="s">
        <v>50</v>
      </c>
      <c r="G2" s="10" t="s">
        <v>50</v>
      </c>
      <c r="H2" s="10" t="s">
        <v>50</v>
      </c>
      <c r="I2" s="10" t="s">
        <v>49</v>
      </c>
      <c r="K2" s="10" t="s">
        <v>50</v>
      </c>
      <c r="L2" s="10" t="s">
        <v>50</v>
      </c>
      <c r="M2" s="64" t="s">
        <v>6</v>
      </c>
      <c r="N2" s="64"/>
      <c r="O2" s="64" t="s">
        <v>26</v>
      </c>
      <c r="P2" s="64"/>
      <c r="Q2" s="62" t="s">
        <v>26</v>
      </c>
      <c r="R2" s="62"/>
      <c r="S2" s="4"/>
      <c r="T2" s="4"/>
      <c r="U2" s="12"/>
      <c r="V2" s="4"/>
      <c r="W2" s="4"/>
      <c r="X2" s="4"/>
      <c r="Y2" s="4"/>
      <c r="Z2" s="4"/>
      <c r="AA2" s="4"/>
      <c r="AB2" s="4"/>
      <c r="AC2" s="4"/>
      <c r="AD2" s="4"/>
      <c r="AE2" s="4"/>
      <c r="AF2" s="59" t="s">
        <v>103</v>
      </c>
      <c r="AG2" s="60"/>
      <c r="AH2" s="4"/>
      <c r="AI2" s="4"/>
      <c r="AJ2" s="4"/>
      <c r="AK2" s="4"/>
      <c r="AL2" s="4" t="s">
        <v>135</v>
      </c>
      <c r="AM2" s="4"/>
      <c r="AN2" s="4"/>
      <c r="AO2" s="4"/>
      <c r="AP2" s="4"/>
      <c r="AQ2" s="4"/>
      <c r="AR2" s="59" t="s">
        <v>128</v>
      </c>
      <c r="AS2" s="60"/>
      <c r="AT2" s="4"/>
      <c r="AU2" s="4"/>
      <c r="AV2" s="4"/>
    </row>
    <row r="3" spans="1:48" x14ac:dyDescent="0.3">
      <c r="A3" s="2" t="s">
        <v>7</v>
      </c>
      <c r="B3" s="2" t="s">
        <v>9</v>
      </c>
      <c r="C3" s="2" t="s">
        <v>8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3</v>
      </c>
      <c r="I3" s="1" t="s">
        <v>1</v>
      </c>
      <c r="J3" s="1" t="s">
        <v>2</v>
      </c>
      <c r="K3" s="1" t="s">
        <v>4</v>
      </c>
      <c r="L3" s="1" t="s">
        <v>5</v>
      </c>
      <c r="M3" s="13" t="s">
        <v>35</v>
      </c>
      <c r="N3" s="1" t="s">
        <v>34</v>
      </c>
      <c r="O3" s="13" t="s">
        <v>35</v>
      </c>
      <c r="P3" s="1" t="s">
        <v>34</v>
      </c>
      <c r="Q3" s="13" t="s">
        <v>35</v>
      </c>
      <c r="R3" s="1" t="s">
        <v>34</v>
      </c>
      <c r="S3" s="19" t="s">
        <v>41</v>
      </c>
      <c r="T3" s="19" t="s">
        <v>42</v>
      </c>
      <c r="U3" s="20" t="s">
        <v>43</v>
      </c>
      <c r="V3" s="19" t="s">
        <v>64</v>
      </c>
      <c r="W3" s="19" t="s">
        <v>66</v>
      </c>
      <c r="X3" s="19" t="s">
        <v>65</v>
      </c>
      <c r="Y3" s="19" t="s">
        <v>67</v>
      </c>
      <c r="Z3" s="19" t="s">
        <v>77</v>
      </c>
      <c r="AA3" s="19" t="s">
        <v>78</v>
      </c>
      <c r="AB3" s="19" t="s">
        <v>82</v>
      </c>
      <c r="AC3" s="19" t="s">
        <v>86</v>
      </c>
      <c r="AD3" s="19" t="s">
        <v>95</v>
      </c>
      <c r="AE3" s="19" t="s">
        <v>97</v>
      </c>
      <c r="AF3" s="19" t="s">
        <v>35</v>
      </c>
      <c r="AG3" s="19" t="s">
        <v>34</v>
      </c>
      <c r="AH3" s="19" t="s">
        <v>106</v>
      </c>
      <c r="AI3" s="19" t="s">
        <v>107</v>
      </c>
      <c r="AJ3" s="19" t="s">
        <v>108</v>
      </c>
      <c r="AK3" s="19" t="s">
        <v>118</v>
      </c>
      <c r="AL3" s="19" t="s">
        <v>146</v>
      </c>
      <c r="AM3" s="19" t="s">
        <v>119</v>
      </c>
      <c r="AN3" s="19" t="s">
        <v>120</v>
      </c>
      <c r="AO3" s="19" t="s">
        <v>123</v>
      </c>
      <c r="AP3" s="19" t="s">
        <v>121</v>
      </c>
      <c r="AQ3" s="19" t="s">
        <v>122</v>
      </c>
      <c r="AR3" s="19" t="s">
        <v>35</v>
      </c>
      <c r="AS3" s="19" t="s">
        <v>34</v>
      </c>
      <c r="AT3" s="19" t="s">
        <v>132</v>
      </c>
      <c r="AU3" s="19" t="s">
        <v>136</v>
      </c>
      <c r="AV3" s="19" t="s">
        <v>137</v>
      </c>
    </row>
    <row r="4" spans="1:48" x14ac:dyDescent="0.3">
      <c r="A4" s="5">
        <v>45936</v>
      </c>
      <c r="B4" s="3"/>
      <c r="C4" s="3"/>
      <c r="D4" s="3">
        <v>1000</v>
      </c>
      <c r="E4" s="3">
        <v>2000</v>
      </c>
      <c r="F4" s="3"/>
      <c r="G4" s="3"/>
      <c r="H4" s="3">
        <f>601+901</f>
        <v>1502</v>
      </c>
      <c r="I4" s="3">
        <v>2428</v>
      </c>
      <c r="J4" s="3">
        <v>100</v>
      </c>
      <c r="K4" s="3">
        <v>569</v>
      </c>
      <c r="L4" s="3">
        <v>30</v>
      </c>
      <c r="M4" s="14">
        <v>340</v>
      </c>
      <c r="N4" s="4">
        <v>4674.93</v>
      </c>
      <c r="O4" s="16">
        <v>1145</v>
      </c>
      <c r="P4" s="4">
        <v>25082.68</v>
      </c>
      <c r="Q4" s="14"/>
      <c r="R4" s="4"/>
      <c r="S4" s="4">
        <f>5+5</f>
        <v>10</v>
      </c>
      <c r="T4" s="4">
        <f>5</f>
        <v>5</v>
      </c>
      <c r="U4" s="4">
        <f>10</f>
        <v>10</v>
      </c>
      <c r="V4" s="4"/>
      <c r="W4" s="4"/>
      <c r="X4" s="4"/>
      <c r="Y4" s="4"/>
      <c r="Z4" s="4"/>
      <c r="AA4" s="4"/>
      <c r="AB4" s="4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"/>
      <c r="AT4" s="36"/>
      <c r="AU4" s="36"/>
      <c r="AV4" s="36"/>
    </row>
    <row r="5" spans="1:48" x14ac:dyDescent="0.3">
      <c r="A5" s="5">
        <v>45942</v>
      </c>
      <c r="B5" s="3">
        <v>1001</v>
      </c>
      <c r="C5" s="3" t="s">
        <v>19</v>
      </c>
      <c r="D5" s="3"/>
      <c r="E5" s="3"/>
      <c r="F5" s="3"/>
      <c r="G5" s="3"/>
      <c r="H5" s="52">
        <v>-50</v>
      </c>
      <c r="I5" s="3"/>
      <c r="J5" s="3"/>
      <c r="K5" s="3"/>
      <c r="L5" s="3"/>
      <c r="M5" s="15"/>
      <c r="N5" s="3"/>
      <c r="O5" s="15"/>
      <c r="P5" s="3"/>
      <c r="Q5" s="1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x14ac:dyDescent="0.3">
      <c r="A6" s="5">
        <v>45942</v>
      </c>
      <c r="B6" s="3">
        <v>1002</v>
      </c>
      <c r="C6" s="6" t="s">
        <v>10</v>
      </c>
      <c r="D6" s="3">
        <v>-10</v>
      </c>
      <c r="E6" s="3"/>
      <c r="F6" s="3"/>
      <c r="G6" s="3"/>
      <c r="H6" s="3"/>
      <c r="I6" s="3"/>
      <c r="J6" s="3"/>
      <c r="K6" s="3"/>
      <c r="L6" s="3"/>
      <c r="M6" s="15"/>
      <c r="N6" s="3"/>
      <c r="O6" s="15"/>
      <c r="P6" s="3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x14ac:dyDescent="0.3">
      <c r="A7" s="5">
        <v>45942</v>
      </c>
      <c r="B7" s="3">
        <v>1003</v>
      </c>
      <c r="C7" s="3" t="s">
        <v>11</v>
      </c>
      <c r="D7" s="3"/>
      <c r="E7" s="3"/>
      <c r="F7" s="3"/>
      <c r="G7" s="3"/>
      <c r="H7" s="3"/>
      <c r="I7" s="3"/>
      <c r="J7" s="3"/>
      <c r="K7" s="3">
        <v>-10</v>
      </c>
      <c r="L7" s="3">
        <v>-5</v>
      </c>
      <c r="M7" s="15"/>
      <c r="N7" s="3"/>
      <c r="O7" s="15"/>
      <c r="P7" s="3"/>
      <c r="Q7" s="15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x14ac:dyDescent="0.3">
      <c r="A8" s="5">
        <v>45943</v>
      </c>
      <c r="B8" s="3">
        <v>1004</v>
      </c>
      <c r="C8" s="3" t="s">
        <v>12</v>
      </c>
      <c r="D8" s="3"/>
      <c r="E8" s="3"/>
      <c r="F8" s="3"/>
      <c r="G8" s="3"/>
      <c r="H8" s="3"/>
      <c r="I8" s="3"/>
      <c r="J8" s="3"/>
      <c r="K8" s="3"/>
      <c r="L8" s="3"/>
      <c r="M8" s="23">
        <v>-21</v>
      </c>
      <c r="N8" s="3">
        <v>-299.27</v>
      </c>
      <c r="O8" s="15"/>
      <c r="P8" s="3"/>
      <c r="Q8" s="15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x14ac:dyDescent="0.3">
      <c r="A9" s="5">
        <v>45945</v>
      </c>
      <c r="B9" s="3">
        <v>1005</v>
      </c>
      <c r="C9" s="3" t="s">
        <v>13</v>
      </c>
      <c r="D9" s="3"/>
      <c r="E9" s="3"/>
      <c r="F9" s="3"/>
      <c r="G9" s="3"/>
      <c r="H9" s="3">
        <v>-25</v>
      </c>
      <c r="I9" s="3"/>
      <c r="J9" s="3"/>
      <c r="K9" s="3"/>
      <c r="L9" s="3"/>
      <c r="M9" s="15"/>
      <c r="N9" s="3"/>
      <c r="O9" s="15"/>
      <c r="P9" s="3"/>
      <c r="Q9" s="15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x14ac:dyDescent="0.3">
      <c r="A10" s="5">
        <v>45945</v>
      </c>
      <c r="B10" s="3">
        <v>1006</v>
      </c>
      <c r="C10" s="7" t="s">
        <v>14</v>
      </c>
      <c r="D10" s="3"/>
      <c r="E10" s="3"/>
      <c r="F10" s="3"/>
      <c r="G10" s="3"/>
      <c r="H10" s="3"/>
      <c r="I10" s="3"/>
      <c r="J10" s="3">
        <v>-100</v>
      </c>
      <c r="K10" s="3"/>
      <c r="L10" s="3"/>
      <c r="M10" s="15"/>
      <c r="N10" s="3"/>
      <c r="O10" s="15"/>
      <c r="P10" s="3"/>
      <c r="Q10" s="15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x14ac:dyDescent="0.3">
      <c r="A11" s="5">
        <v>45946</v>
      </c>
      <c r="B11" s="3">
        <v>1007</v>
      </c>
      <c r="C11" s="6" t="s">
        <v>15</v>
      </c>
      <c r="D11" s="3"/>
      <c r="E11" s="3"/>
      <c r="F11" s="3"/>
      <c r="G11" s="3"/>
      <c r="H11" s="3"/>
      <c r="I11" s="3"/>
      <c r="J11" s="3"/>
      <c r="K11" s="3">
        <v>-3</v>
      </c>
      <c r="L11" s="3"/>
      <c r="M11" s="23">
        <v>-10</v>
      </c>
      <c r="N11" s="3">
        <v>-136.35</v>
      </c>
      <c r="O11" s="15"/>
      <c r="P11" s="3"/>
      <c r="Q11" s="1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x14ac:dyDescent="0.3">
      <c r="A12" s="5">
        <v>45946</v>
      </c>
      <c r="B12" s="3" t="s">
        <v>21</v>
      </c>
      <c r="C12" s="4" t="s">
        <v>36</v>
      </c>
      <c r="D12" s="3"/>
      <c r="E12" s="3"/>
      <c r="F12" s="3"/>
      <c r="G12" s="3"/>
      <c r="H12" s="3">
        <v>-5</v>
      </c>
      <c r="I12" s="3"/>
      <c r="J12" s="3"/>
      <c r="K12" s="3"/>
      <c r="L12" s="3"/>
      <c r="M12" s="23"/>
      <c r="N12" s="3"/>
      <c r="O12" s="15"/>
      <c r="P12" s="3"/>
      <c r="Q12" s="15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x14ac:dyDescent="0.3">
      <c r="A13" s="5">
        <v>45948</v>
      </c>
      <c r="B13" s="3">
        <v>1008</v>
      </c>
      <c r="C13" s="6" t="s">
        <v>16</v>
      </c>
      <c r="D13" s="3"/>
      <c r="E13" s="3"/>
      <c r="F13" s="3"/>
      <c r="G13" s="3"/>
      <c r="H13" s="3"/>
      <c r="I13" s="3"/>
      <c r="J13" s="3"/>
      <c r="K13" s="3"/>
      <c r="L13" s="3"/>
      <c r="M13" s="23">
        <v>-20</v>
      </c>
      <c r="N13" s="3">
        <f>-1302.16+1051.17</f>
        <v>-250.99</v>
      </c>
      <c r="O13" s="15"/>
      <c r="P13" s="3"/>
      <c r="Q13" s="15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x14ac:dyDescent="0.3">
      <c r="A14" s="5">
        <v>45948</v>
      </c>
      <c r="B14" s="3">
        <v>1009</v>
      </c>
      <c r="C14" s="6" t="s">
        <v>13</v>
      </c>
      <c r="D14" s="3"/>
      <c r="E14" s="3"/>
      <c r="F14" s="3"/>
      <c r="G14" s="3"/>
      <c r="H14" s="3">
        <v>-20</v>
      </c>
      <c r="I14" s="3"/>
      <c r="J14" s="3"/>
      <c r="K14" s="3"/>
      <c r="L14" s="3"/>
      <c r="M14" s="15"/>
      <c r="N14" s="3"/>
      <c r="O14" s="15"/>
      <c r="P14" s="3"/>
      <c r="Q14" s="15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x14ac:dyDescent="0.3">
      <c r="A15" s="5">
        <v>45949</v>
      </c>
      <c r="B15" s="3">
        <v>1010</v>
      </c>
      <c r="C15" s="6" t="s">
        <v>17</v>
      </c>
      <c r="D15" s="3"/>
      <c r="E15" s="3"/>
      <c r="F15" s="3"/>
      <c r="G15" s="3"/>
      <c r="H15" s="3">
        <v>-20</v>
      </c>
      <c r="I15" s="3"/>
      <c r="J15" s="3"/>
      <c r="K15" s="3"/>
      <c r="L15" s="3"/>
      <c r="M15" s="15"/>
      <c r="N15" s="3"/>
      <c r="O15" s="15"/>
      <c r="P15" s="3"/>
      <c r="Q15" s="15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x14ac:dyDescent="0.3">
      <c r="A16" s="5">
        <v>45949</v>
      </c>
      <c r="B16" s="3">
        <v>1011</v>
      </c>
      <c r="C16" s="6" t="s">
        <v>18</v>
      </c>
      <c r="D16" s="3"/>
      <c r="E16" s="3"/>
      <c r="F16" s="3"/>
      <c r="G16" s="3"/>
      <c r="H16" s="3">
        <v>-5</v>
      </c>
      <c r="I16" s="3"/>
      <c r="J16" s="3"/>
      <c r="K16" s="3"/>
      <c r="L16" s="3"/>
      <c r="M16" s="15"/>
      <c r="N16" s="3"/>
      <c r="O16" s="15"/>
      <c r="P16" s="3"/>
      <c r="Q16" s="15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x14ac:dyDescent="0.3">
      <c r="A17" s="5">
        <v>45950</v>
      </c>
      <c r="B17" s="3">
        <v>1012</v>
      </c>
      <c r="C17" s="6" t="s">
        <v>13</v>
      </c>
      <c r="D17" s="3"/>
      <c r="E17" s="3"/>
      <c r="F17" s="3"/>
      <c r="G17" s="3"/>
      <c r="H17" s="3"/>
      <c r="I17" s="3"/>
      <c r="J17" s="3"/>
      <c r="K17" s="3"/>
      <c r="L17" s="3"/>
      <c r="M17" s="23">
        <v>-10</v>
      </c>
      <c r="N17" s="3">
        <v>-124.41</v>
      </c>
      <c r="O17" s="15"/>
      <c r="P17" s="3"/>
      <c r="Q17" s="15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x14ac:dyDescent="0.3">
      <c r="A18" s="5">
        <v>45950</v>
      </c>
      <c r="B18" s="6">
        <v>1013</v>
      </c>
      <c r="C18" s="6" t="s">
        <v>19</v>
      </c>
      <c r="D18" s="3"/>
      <c r="E18" s="3"/>
      <c r="F18" s="3"/>
      <c r="G18" s="3"/>
      <c r="H18" s="3">
        <v>-15</v>
      </c>
      <c r="I18" s="3"/>
      <c r="J18" s="3"/>
      <c r="K18" s="3"/>
      <c r="L18" s="3"/>
      <c r="M18" s="15"/>
      <c r="N18" s="3"/>
      <c r="O18" s="15"/>
      <c r="P18" s="3"/>
      <c r="Q18" s="15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x14ac:dyDescent="0.3">
      <c r="A19" s="5">
        <v>45950</v>
      </c>
      <c r="B19" s="3">
        <v>1014</v>
      </c>
      <c r="C19" s="6" t="s">
        <v>18</v>
      </c>
      <c r="D19" s="3"/>
      <c r="E19" s="3"/>
      <c r="F19" s="3"/>
      <c r="G19" s="3"/>
      <c r="H19" s="3">
        <v>-5</v>
      </c>
      <c r="I19" s="3"/>
      <c r="J19" s="3"/>
      <c r="K19" s="3"/>
      <c r="L19" s="3"/>
      <c r="M19" s="15"/>
      <c r="N19" s="3"/>
      <c r="O19" s="15"/>
      <c r="P19" s="3"/>
      <c r="Q19" s="15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x14ac:dyDescent="0.3">
      <c r="A20" s="5">
        <v>45950</v>
      </c>
      <c r="B20" s="3">
        <v>1015</v>
      </c>
      <c r="C20" s="6" t="s">
        <v>14</v>
      </c>
      <c r="D20" s="3"/>
      <c r="E20" s="3"/>
      <c r="F20" s="3"/>
      <c r="G20" s="3"/>
      <c r="H20" s="3"/>
      <c r="I20" s="3"/>
      <c r="J20" s="3"/>
      <c r="K20" s="3"/>
      <c r="L20" s="3"/>
      <c r="M20" s="21">
        <v>-30</v>
      </c>
      <c r="N20" s="3">
        <v>-397.42</v>
      </c>
      <c r="O20" s="15"/>
      <c r="P20" s="3"/>
      <c r="Q20" s="15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7"/>
      <c r="AT20" s="3"/>
      <c r="AU20" s="3"/>
      <c r="AV20" s="3"/>
    </row>
    <row r="21" spans="1:48" x14ac:dyDescent="0.3">
      <c r="A21" s="5"/>
      <c r="B21" s="3" t="s">
        <v>21</v>
      </c>
      <c r="C21" s="3" t="s">
        <v>20</v>
      </c>
      <c r="D21" s="3"/>
      <c r="E21" s="3"/>
      <c r="F21" s="3"/>
      <c r="G21" s="3"/>
      <c r="H21" s="3">
        <v>-5</v>
      </c>
      <c r="I21" s="3"/>
      <c r="J21" s="3"/>
      <c r="K21" s="3"/>
      <c r="L21" s="3"/>
      <c r="M21" s="15"/>
      <c r="N21" s="3"/>
      <c r="O21" s="15"/>
      <c r="P21" s="3"/>
      <c r="Q21" s="15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"/>
      <c r="AT21" s="37"/>
      <c r="AU21" s="37"/>
      <c r="AV21" s="37"/>
    </row>
    <row r="22" spans="1:48" x14ac:dyDescent="0.3">
      <c r="A22" s="5">
        <v>45951</v>
      </c>
      <c r="B22" s="3">
        <v>1016</v>
      </c>
      <c r="C22" s="6" t="s">
        <v>15</v>
      </c>
      <c r="D22" s="3"/>
      <c r="E22" s="3"/>
      <c r="F22" s="3"/>
      <c r="G22" s="3"/>
      <c r="H22" s="3"/>
      <c r="I22" s="3">
        <v>-60</v>
      </c>
      <c r="J22" s="3"/>
      <c r="K22" s="3"/>
      <c r="L22" s="3"/>
      <c r="M22" s="15"/>
      <c r="N22" s="3"/>
      <c r="O22" s="15"/>
      <c r="P22" s="3"/>
      <c r="Q22" s="15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x14ac:dyDescent="0.3">
      <c r="A23" s="5">
        <v>45951</v>
      </c>
      <c r="B23" s="3">
        <v>1017</v>
      </c>
      <c r="C23" s="6" t="s">
        <v>10</v>
      </c>
      <c r="D23" s="3">
        <v>-250</v>
      </c>
      <c r="E23" s="3"/>
      <c r="F23" s="3"/>
      <c r="G23" s="3"/>
      <c r="H23" s="3"/>
      <c r="I23" s="3"/>
      <c r="J23" s="3"/>
      <c r="K23" s="3"/>
      <c r="L23" s="3"/>
      <c r="M23" s="15"/>
      <c r="N23" s="3"/>
      <c r="O23" s="15"/>
      <c r="P23" s="3"/>
      <c r="Q23" s="15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x14ac:dyDescent="0.3">
      <c r="A24" s="5">
        <v>45952</v>
      </c>
      <c r="B24" s="3">
        <v>1018</v>
      </c>
      <c r="C24" s="6" t="s">
        <v>24</v>
      </c>
      <c r="D24" s="3">
        <v>-1</v>
      </c>
      <c r="E24" s="3"/>
      <c r="F24" s="3"/>
      <c r="G24" s="3"/>
      <c r="H24" s="3"/>
      <c r="I24" s="3">
        <v>-1</v>
      </c>
      <c r="J24" s="3"/>
      <c r="K24" s="3"/>
      <c r="L24" s="3"/>
      <c r="M24" s="21">
        <v>-4</v>
      </c>
      <c r="N24" s="3">
        <v>-51.35</v>
      </c>
      <c r="O24" s="15"/>
      <c r="P24" s="3"/>
      <c r="Q24" s="15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x14ac:dyDescent="0.3">
      <c r="A25" s="5">
        <v>45952</v>
      </c>
      <c r="B25" s="3">
        <v>1019</v>
      </c>
      <c r="C25" s="6" t="s">
        <v>13</v>
      </c>
      <c r="D25" s="3"/>
      <c r="E25" s="3"/>
      <c r="F25" s="3"/>
      <c r="G25" s="3"/>
      <c r="H25" s="3">
        <v>-15</v>
      </c>
      <c r="I25" s="3"/>
      <c r="J25" s="3"/>
      <c r="K25" s="3"/>
      <c r="L25" s="3"/>
      <c r="M25" s="15"/>
      <c r="N25" s="3"/>
      <c r="O25" s="15"/>
      <c r="P25" s="3"/>
      <c r="Q25" s="15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x14ac:dyDescent="0.3">
      <c r="A26" s="5">
        <v>45953</v>
      </c>
      <c r="B26" s="3">
        <v>1020</v>
      </c>
      <c r="C26" s="12" t="s">
        <v>19</v>
      </c>
      <c r="D26" s="3"/>
      <c r="E26" s="3"/>
      <c r="F26" s="3"/>
      <c r="G26" s="3"/>
      <c r="H26" s="3">
        <v>-30</v>
      </c>
      <c r="I26" s="3"/>
      <c r="J26" s="3"/>
      <c r="K26" s="3"/>
      <c r="L26" s="3"/>
      <c r="M26" s="15"/>
      <c r="N26" s="3"/>
      <c r="O26" s="15"/>
      <c r="P26" s="3"/>
      <c r="Q26" s="15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x14ac:dyDescent="0.3">
      <c r="A27" s="5">
        <v>45953</v>
      </c>
      <c r="B27" s="3">
        <v>1021</v>
      </c>
      <c r="C27" s="4" t="s">
        <v>28</v>
      </c>
      <c r="D27" s="3"/>
      <c r="E27" s="3"/>
      <c r="F27" s="3"/>
      <c r="G27" s="3"/>
      <c r="H27" s="3"/>
      <c r="I27" s="3">
        <v>-130</v>
      </c>
      <c r="J27" s="3"/>
      <c r="K27" s="3"/>
      <c r="L27" s="3"/>
      <c r="M27" s="15"/>
      <c r="N27" s="3"/>
      <c r="O27" s="15"/>
      <c r="P27" s="3"/>
      <c r="Q27" s="15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x14ac:dyDescent="0.3">
      <c r="A28" s="5">
        <v>45953</v>
      </c>
      <c r="B28" s="3">
        <v>1023</v>
      </c>
      <c r="C28" s="12" t="s">
        <v>29</v>
      </c>
      <c r="D28" s="3"/>
      <c r="E28" s="3"/>
      <c r="F28" s="3"/>
      <c r="G28" s="3"/>
      <c r="H28" s="3"/>
      <c r="I28" s="3"/>
      <c r="J28" s="3"/>
      <c r="K28" s="3"/>
      <c r="L28" s="3"/>
      <c r="M28" s="15"/>
      <c r="N28" s="3"/>
      <c r="O28" s="15">
        <v>-313</v>
      </c>
      <c r="P28" s="3">
        <v>-7000</v>
      </c>
      <c r="Q28" s="15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x14ac:dyDescent="0.3">
      <c r="A29" s="5">
        <v>45955</v>
      </c>
      <c r="B29" s="3">
        <v>1024</v>
      </c>
      <c r="C29" s="4" t="s">
        <v>18</v>
      </c>
      <c r="D29" s="3"/>
      <c r="E29" s="3"/>
      <c r="F29" s="3"/>
      <c r="G29" s="3"/>
      <c r="H29" s="3">
        <v>-5</v>
      </c>
      <c r="I29" s="3"/>
      <c r="J29" s="3"/>
      <c r="K29" s="3"/>
      <c r="L29" s="3"/>
      <c r="M29" s="15"/>
      <c r="N29" s="3"/>
      <c r="O29" s="15"/>
      <c r="P29" s="3"/>
      <c r="Q29" s="15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x14ac:dyDescent="0.3">
      <c r="A30" s="5">
        <v>45955</v>
      </c>
      <c r="B30" s="3">
        <v>1025</v>
      </c>
      <c r="C30" s="12" t="s">
        <v>29</v>
      </c>
      <c r="D30" s="3"/>
      <c r="E30" s="3"/>
      <c r="F30" s="3"/>
      <c r="G30" s="3"/>
      <c r="H30" s="3"/>
      <c r="I30" s="3"/>
      <c r="J30" s="3"/>
      <c r="K30" s="3"/>
      <c r="L30" s="3"/>
      <c r="M30" s="15"/>
      <c r="N30" s="3"/>
      <c r="O30" s="15">
        <v>-1</v>
      </c>
      <c r="P30" s="3">
        <v>-11.77</v>
      </c>
      <c r="Q30" s="15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x14ac:dyDescent="0.3">
      <c r="A31" s="5">
        <v>45955</v>
      </c>
      <c r="B31" s="3">
        <v>1026</v>
      </c>
      <c r="C31" s="4" t="s">
        <v>16</v>
      </c>
      <c r="D31" s="3"/>
      <c r="E31" s="3"/>
      <c r="F31" s="3"/>
      <c r="G31" s="3"/>
      <c r="H31" s="3"/>
      <c r="I31" s="3"/>
      <c r="J31" s="3"/>
      <c r="K31" s="3"/>
      <c r="L31" s="3"/>
      <c r="M31" s="15"/>
      <c r="N31" s="3"/>
      <c r="O31" s="15">
        <v>-41</v>
      </c>
      <c r="P31" s="3">
        <v>-876.27</v>
      </c>
      <c r="Q31" s="15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x14ac:dyDescent="0.3">
      <c r="A32" s="5">
        <v>45955</v>
      </c>
      <c r="B32" s="3">
        <v>1027</v>
      </c>
      <c r="C32" s="12" t="s">
        <v>19</v>
      </c>
      <c r="D32" s="3"/>
      <c r="E32" s="3"/>
      <c r="F32" s="3"/>
      <c r="G32" s="3"/>
      <c r="H32" s="3">
        <v>-30</v>
      </c>
      <c r="I32" s="3"/>
      <c r="J32" s="3"/>
      <c r="K32" s="3"/>
      <c r="L32" s="3"/>
      <c r="M32" s="15"/>
      <c r="N32" s="3"/>
      <c r="O32" s="15"/>
      <c r="P32" s="3"/>
      <c r="Q32" s="15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x14ac:dyDescent="0.3">
      <c r="A33" s="5">
        <v>45955</v>
      </c>
      <c r="B33" s="3">
        <v>1028</v>
      </c>
      <c r="C33" s="12" t="s">
        <v>30</v>
      </c>
      <c r="D33" s="3"/>
      <c r="E33" s="3"/>
      <c r="F33" s="3"/>
      <c r="G33" s="3"/>
      <c r="H33" s="3"/>
      <c r="I33" s="3"/>
      <c r="J33" s="3"/>
      <c r="K33" s="3">
        <v>-1</v>
      </c>
      <c r="L33" s="3"/>
      <c r="M33" s="15"/>
      <c r="N33" s="3"/>
      <c r="O33" s="15"/>
      <c r="P33" s="3"/>
      <c r="Q33" s="15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x14ac:dyDescent="0.3">
      <c r="A34" s="5">
        <v>45956</v>
      </c>
      <c r="B34" s="3">
        <v>1029</v>
      </c>
      <c r="C34" s="4" t="s">
        <v>18</v>
      </c>
      <c r="D34" s="3"/>
      <c r="E34" s="3"/>
      <c r="F34" s="3"/>
      <c r="G34" s="3"/>
      <c r="H34" s="3">
        <v>-5</v>
      </c>
      <c r="I34" s="3"/>
      <c r="J34" s="3"/>
      <c r="K34" s="3"/>
      <c r="L34" s="3"/>
      <c r="M34" s="15"/>
      <c r="N34" s="3"/>
      <c r="O34" s="15"/>
      <c r="P34" s="3"/>
      <c r="Q34" s="1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x14ac:dyDescent="0.3">
      <c r="A35" s="5">
        <v>45956</v>
      </c>
      <c r="B35" s="3">
        <v>1030</v>
      </c>
      <c r="C35" s="12" t="s">
        <v>13</v>
      </c>
      <c r="D35" s="3"/>
      <c r="E35" s="3"/>
      <c r="F35" s="3"/>
      <c r="G35" s="3"/>
      <c r="H35" s="3"/>
      <c r="I35" s="3"/>
      <c r="J35" s="3"/>
      <c r="K35" s="3">
        <v>-25</v>
      </c>
      <c r="L35" s="3"/>
      <c r="M35" s="15"/>
      <c r="N35" s="3"/>
      <c r="O35" s="15"/>
      <c r="P35" s="3"/>
      <c r="Q35" s="15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x14ac:dyDescent="0.3">
      <c r="A36" s="5">
        <v>45956</v>
      </c>
      <c r="B36" s="3">
        <v>1031</v>
      </c>
      <c r="C36" s="12" t="s">
        <v>31</v>
      </c>
      <c r="D36" s="3"/>
      <c r="E36" s="3"/>
      <c r="F36" s="3"/>
      <c r="G36" s="3"/>
      <c r="H36" s="3">
        <v>-3</v>
      </c>
      <c r="I36" s="3"/>
      <c r="J36" s="3"/>
      <c r="K36" s="3"/>
      <c r="L36" s="3"/>
      <c r="M36" s="15"/>
      <c r="N36" s="3"/>
      <c r="O36" s="15"/>
      <c r="P36" s="3"/>
      <c r="Q36" s="15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x14ac:dyDescent="0.3">
      <c r="A37" s="5">
        <v>45956</v>
      </c>
      <c r="B37" s="3">
        <v>1032</v>
      </c>
      <c r="C37" s="4" t="s">
        <v>28</v>
      </c>
      <c r="D37" s="3">
        <v>-21</v>
      </c>
      <c r="E37" s="3"/>
      <c r="F37" s="3"/>
      <c r="G37" s="3"/>
      <c r="H37" s="3"/>
      <c r="I37" s="3">
        <v>-21</v>
      </c>
      <c r="J37" s="3"/>
      <c r="K37" s="3">
        <v>-3</v>
      </c>
      <c r="L37" s="3"/>
      <c r="M37" s="15"/>
      <c r="N37" s="3"/>
      <c r="O37" s="15"/>
      <c r="P37" s="3"/>
      <c r="Q37" s="15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x14ac:dyDescent="0.3">
      <c r="A38" s="5">
        <v>45956</v>
      </c>
      <c r="B38" s="3">
        <v>1033</v>
      </c>
      <c r="C38" s="6" t="s">
        <v>10</v>
      </c>
      <c r="D38" s="3">
        <v>-250</v>
      </c>
      <c r="E38" s="3"/>
      <c r="F38" s="3"/>
      <c r="G38" s="3"/>
      <c r="H38" s="3"/>
      <c r="I38" s="3"/>
      <c r="J38" s="3"/>
      <c r="K38" s="3"/>
      <c r="L38" s="3"/>
      <c r="M38" s="15"/>
      <c r="N38" s="3"/>
      <c r="O38" s="15"/>
      <c r="P38" s="3"/>
      <c r="Q38" s="15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x14ac:dyDescent="0.3">
      <c r="A39" s="5">
        <v>45956</v>
      </c>
      <c r="B39" s="3"/>
      <c r="C39" s="4" t="s">
        <v>33</v>
      </c>
      <c r="D39" s="3">
        <v>-8</v>
      </c>
      <c r="E39" s="3"/>
      <c r="F39" s="3"/>
      <c r="G39" s="3"/>
      <c r="H39" s="3"/>
      <c r="I39" s="3">
        <v>-3</v>
      </c>
      <c r="J39" s="3"/>
      <c r="K39" s="3"/>
      <c r="L39" s="3"/>
      <c r="M39" s="15"/>
      <c r="N39" s="3"/>
      <c r="O39" s="15"/>
      <c r="P39" s="3"/>
      <c r="Q39" s="15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x14ac:dyDescent="0.3">
      <c r="A40" s="5">
        <v>45958</v>
      </c>
      <c r="B40" s="3">
        <v>1034</v>
      </c>
      <c r="C40" s="12" t="s">
        <v>30</v>
      </c>
      <c r="D40" s="3"/>
      <c r="E40" s="3"/>
      <c r="F40" s="3"/>
      <c r="G40" s="3"/>
      <c r="H40" s="3">
        <v>-1</v>
      </c>
      <c r="I40" s="3"/>
      <c r="J40" s="3"/>
      <c r="K40" s="3">
        <v>-1</v>
      </c>
      <c r="L40" s="3"/>
      <c r="M40" s="15"/>
      <c r="N40" s="3"/>
      <c r="O40" s="15"/>
      <c r="P40" s="3"/>
      <c r="Q40" s="15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x14ac:dyDescent="0.3">
      <c r="A41" s="5">
        <v>45959</v>
      </c>
      <c r="B41" s="3">
        <v>1035</v>
      </c>
      <c r="C41" s="12" t="s">
        <v>13</v>
      </c>
      <c r="D41" s="3"/>
      <c r="E41" s="3"/>
      <c r="F41" s="3"/>
      <c r="G41" s="3"/>
      <c r="H41" s="3"/>
      <c r="I41" s="3"/>
      <c r="J41" s="3"/>
      <c r="K41" s="3"/>
      <c r="L41" s="3"/>
      <c r="M41" s="23">
        <v>-5</v>
      </c>
      <c r="N41" s="3">
        <v>-64.790000000000006</v>
      </c>
      <c r="O41" s="15"/>
      <c r="P41" s="3"/>
      <c r="Q41" s="15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x14ac:dyDescent="0.3">
      <c r="A42" s="5">
        <v>45959</v>
      </c>
      <c r="B42" s="3" t="s">
        <v>21</v>
      </c>
      <c r="C42" s="17" t="s">
        <v>36</v>
      </c>
      <c r="D42" s="3"/>
      <c r="E42" s="3"/>
      <c r="F42" s="3"/>
      <c r="G42" s="3"/>
      <c r="H42" s="3">
        <v>-5</v>
      </c>
      <c r="I42" s="3"/>
      <c r="J42" s="3"/>
      <c r="K42" s="3"/>
      <c r="L42" s="3"/>
      <c r="M42" s="15"/>
      <c r="N42" s="3"/>
      <c r="O42" s="15"/>
      <c r="P42" s="3"/>
      <c r="Q42" s="15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x14ac:dyDescent="0.3">
      <c r="A43" s="5">
        <v>45960</v>
      </c>
      <c r="B43" s="3">
        <v>1037</v>
      </c>
      <c r="C43" s="4" t="s">
        <v>37</v>
      </c>
      <c r="D43" s="3"/>
      <c r="E43" s="3"/>
      <c r="F43" s="3"/>
      <c r="G43" s="3"/>
      <c r="H43" s="3">
        <v>-30</v>
      </c>
      <c r="I43" s="3"/>
      <c r="J43" s="3"/>
      <c r="K43" s="3"/>
      <c r="L43" s="3"/>
      <c r="M43" s="15"/>
      <c r="N43" s="3"/>
      <c r="O43" s="15"/>
      <c r="P43" s="3"/>
      <c r="Q43" s="15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x14ac:dyDescent="0.3">
      <c r="A44" s="5">
        <v>45960</v>
      </c>
      <c r="B44" s="3" t="s">
        <v>21</v>
      </c>
      <c r="C44" s="17" t="s">
        <v>36</v>
      </c>
      <c r="D44" s="3"/>
      <c r="E44" s="3"/>
      <c r="F44" s="3"/>
      <c r="G44" s="3"/>
      <c r="H44" s="3">
        <v>-5</v>
      </c>
      <c r="I44" s="3"/>
      <c r="J44" s="3"/>
      <c r="K44" s="3"/>
      <c r="L44" s="3"/>
      <c r="M44" s="15"/>
      <c r="N44" s="3"/>
      <c r="O44" s="15"/>
      <c r="P44" s="3"/>
      <c r="Q44" s="15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x14ac:dyDescent="0.3">
      <c r="A45" s="5">
        <v>45960</v>
      </c>
      <c r="B45" s="3">
        <v>1038</v>
      </c>
      <c r="C45" s="12" t="s">
        <v>30</v>
      </c>
      <c r="D45" s="3"/>
      <c r="E45" s="3"/>
      <c r="F45" s="3"/>
      <c r="G45" s="3"/>
      <c r="H45" s="3"/>
      <c r="I45" s="3"/>
      <c r="J45" s="3"/>
      <c r="K45" s="3">
        <v>-1</v>
      </c>
      <c r="L45" s="3"/>
      <c r="M45" s="15"/>
      <c r="N45" s="3"/>
      <c r="O45" s="15"/>
      <c r="P45" s="3"/>
      <c r="Q45" s="15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7"/>
      <c r="AT45" s="3"/>
      <c r="AU45" s="3"/>
      <c r="AV45" s="3"/>
    </row>
    <row r="46" spans="1:48" x14ac:dyDescent="0.3">
      <c r="A46" s="5">
        <v>45962</v>
      </c>
      <c r="B46" s="3">
        <v>1039</v>
      </c>
      <c r="C46" s="12" t="s">
        <v>38</v>
      </c>
      <c r="D46" s="3"/>
      <c r="E46" s="3"/>
      <c r="F46" s="3"/>
      <c r="G46" s="3"/>
      <c r="H46" s="3"/>
      <c r="I46" s="3">
        <v>-25</v>
      </c>
      <c r="J46" s="3"/>
      <c r="K46" s="3"/>
      <c r="L46" s="3"/>
      <c r="M46" s="15"/>
      <c r="N46" s="3"/>
      <c r="O46" s="15"/>
      <c r="P46" s="3"/>
      <c r="Q46" s="15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</row>
    <row r="47" spans="1:48" x14ac:dyDescent="0.3">
      <c r="A47" s="5">
        <v>45962</v>
      </c>
      <c r="B47" s="3">
        <v>1040</v>
      </c>
      <c r="C47" s="12" t="s">
        <v>19</v>
      </c>
      <c r="D47" s="3"/>
      <c r="E47" s="3"/>
      <c r="F47" s="3"/>
      <c r="G47" s="3"/>
      <c r="H47" s="23">
        <v>-30</v>
      </c>
      <c r="I47" s="3"/>
      <c r="J47" s="3"/>
      <c r="K47" s="3"/>
      <c r="L47" s="3"/>
      <c r="M47" s="15"/>
      <c r="N47" s="3"/>
      <c r="O47" s="15"/>
      <c r="P47" s="3"/>
      <c r="Q47" s="15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</row>
    <row r="48" spans="1:48" x14ac:dyDescent="0.3">
      <c r="A48" s="5">
        <v>45962</v>
      </c>
      <c r="B48" s="3">
        <v>1041</v>
      </c>
      <c r="C48" s="12" t="s">
        <v>30</v>
      </c>
      <c r="D48" s="3"/>
      <c r="E48" s="3"/>
      <c r="F48" s="3"/>
      <c r="G48" s="3"/>
      <c r="H48" s="3"/>
      <c r="I48" s="3">
        <v>-2</v>
      </c>
      <c r="J48" s="3"/>
      <c r="K48" s="3">
        <v>-1</v>
      </c>
      <c r="L48" s="3"/>
      <c r="M48" s="15"/>
      <c r="N48" s="3"/>
      <c r="O48" s="15"/>
      <c r="P48" s="3"/>
      <c r="Q48" s="15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</row>
    <row r="49" spans="1:48" x14ac:dyDescent="0.3">
      <c r="A49" s="5">
        <v>45962</v>
      </c>
      <c r="B49" s="3">
        <v>1042</v>
      </c>
      <c r="C49" s="6" t="s">
        <v>10</v>
      </c>
      <c r="D49" s="3">
        <v>-250</v>
      </c>
      <c r="E49" s="3"/>
      <c r="F49" s="3"/>
      <c r="G49" s="3"/>
      <c r="H49" s="3"/>
      <c r="I49" s="3"/>
      <c r="J49" s="3"/>
      <c r="K49" s="3"/>
      <c r="L49" s="3"/>
      <c r="M49" s="15"/>
      <c r="N49" s="3"/>
      <c r="O49" s="15"/>
      <c r="P49" s="3"/>
      <c r="Q49" s="15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</row>
    <row r="50" spans="1:48" x14ac:dyDescent="0.3">
      <c r="A50" s="5">
        <v>45962</v>
      </c>
      <c r="B50" s="3">
        <v>1044</v>
      </c>
      <c r="C50" s="4" t="s">
        <v>18</v>
      </c>
      <c r="D50" s="3"/>
      <c r="E50" s="3"/>
      <c r="F50" s="3"/>
      <c r="G50" s="3"/>
      <c r="H50" s="3">
        <v>-11</v>
      </c>
      <c r="I50" s="3"/>
      <c r="J50" s="3"/>
      <c r="K50" s="3"/>
      <c r="L50" s="3"/>
      <c r="M50" s="15"/>
      <c r="N50" s="3"/>
      <c r="O50" s="15"/>
      <c r="P50" s="3"/>
      <c r="Q50" s="15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</row>
    <row r="51" spans="1:48" x14ac:dyDescent="0.3">
      <c r="A51" s="5">
        <v>45963</v>
      </c>
      <c r="B51" s="3">
        <v>1045</v>
      </c>
      <c r="C51" s="12" t="s">
        <v>19</v>
      </c>
      <c r="D51" s="3"/>
      <c r="E51" s="3"/>
      <c r="F51" s="3"/>
      <c r="G51" s="3"/>
      <c r="H51" s="3">
        <v>-20</v>
      </c>
      <c r="I51" s="3"/>
      <c r="J51" s="3"/>
      <c r="K51" s="3"/>
      <c r="L51" s="3"/>
      <c r="M51" s="15"/>
      <c r="N51" s="3"/>
      <c r="O51" s="15"/>
      <c r="P51" s="3"/>
      <c r="Q51" s="15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</row>
    <row r="52" spans="1:48" x14ac:dyDescent="0.3">
      <c r="A52" s="5">
        <v>45963</v>
      </c>
      <c r="B52" s="3">
        <v>1046</v>
      </c>
      <c r="C52" s="12" t="s">
        <v>13</v>
      </c>
      <c r="D52" s="3"/>
      <c r="E52" s="3"/>
      <c r="F52" s="3"/>
      <c r="G52" s="3"/>
      <c r="H52" s="3">
        <v>-25</v>
      </c>
      <c r="I52" s="3"/>
      <c r="J52" s="3"/>
      <c r="K52" s="3"/>
      <c r="L52" s="3"/>
      <c r="M52" s="15"/>
      <c r="N52" s="3"/>
      <c r="O52" s="15"/>
      <c r="P52" s="3"/>
      <c r="Q52" s="15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8"/>
      <c r="AT52" s="37"/>
      <c r="AU52" s="37"/>
      <c r="AV52" s="37"/>
    </row>
    <row r="53" spans="1:48" x14ac:dyDescent="0.3">
      <c r="A53" s="5">
        <v>45963</v>
      </c>
      <c r="B53" s="3">
        <v>1047</v>
      </c>
      <c r="C53" s="4" t="s">
        <v>39</v>
      </c>
      <c r="D53" s="3"/>
      <c r="E53" s="3"/>
      <c r="F53" s="3"/>
      <c r="G53" s="3"/>
      <c r="H53" s="3"/>
      <c r="I53" s="3"/>
      <c r="J53" s="3"/>
      <c r="K53" s="3"/>
      <c r="L53" s="3"/>
      <c r="M53" s="15"/>
      <c r="N53" s="3"/>
      <c r="O53" s="15">
        <v>-95</v>
      </c>
      <c r="P53" s="18">
        <v>-2062.69</v>
      </c>
      <c r="Q53" s="15"/>
      <c r="R53" s="3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7"/>
      <c r="AT53" s="38"/>
      <c r="AU53" s="38"/>
      <c r="AV53" s="38"/>
    </row>
    <row r="54" spans="1:48" x14ac:dyDescent="0.3">
      <c r="A54" s="5">
        <v>45963</v>
      </c>
      <c r="B54" s="3">
        <v>1048</v>
      </c>
      <c r="C54" s="4" t="s">
        <v>17</v>
      </c>
      <c r="D54" s="3"/>
      <c r="E54" s="3"/>
      <c r="F54" s="3"/>
      <c r="G54" s="3"/>
      <c r="H54" s="3">
        <v>-50</v>
      </c>
      <c r="I54" s="3"/>
      <c r="J54" s="3"/>
      <c r="K54" s="3"/>
      <c r="L54" s="3"/>
      <c r="M54" s="15"/>
      <c r="N54" s="3"/>
      <c r="O54" s="15"/>
      <c r="P54" s="3"/>
      <c r="Q54" s="15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</row>
    <row r="55" spans="1:48" x14ac:dyDescent="0.3">
      <c r="A55" s="5">
        <v>45964</v>
      </c>
      <c r="B55" s="3">
        <v>1049</v>
      </c>
      <c r="C55" s="4" t="s">
        <v>40</v>
      </c>
      <c r="D55" s="3"/>
      <c r="E55" s="3"/>
      <c r="F55" s="3"/>
      <c r="G55" s="3"/>
      <c r="H55" s="23">
        <v>-10</v>
      </c>
      <c r="I55" s="3"/>
      <c r="J55" s="3"/>
      <c r="K55" s="3"/>
      <c r="L55" s="3">
        <v>-2</v>
      </c>
      <c r="M55" s="21">
        <v>-1</v>
      </c>
      <c r="N55" s="3">
        <v>-14.7</v>
      </c>
      <c r="O55" s="15">
        <v>-1</v>
      </c>
      <c r="P55" s="3">
        <v>-20.77</v>
      </c>
      <c r="Q55" s="15"/>
      <c r="R55" s="3"/>
      <c r="S55" s="3">
        <v>-5</v>
      </c>
      <c r="T55" s="3">
        <v>-5</v>
      </c>
      <c r="U55" s="3">
        <v>-10</v>
      </c>
      <c r="V55" s="3"/>
      <c r="W55" s="3"/>
      <c r="X55" s="3"/>
      <c r="Y55" s="3"/>
      <c r="Z55" s="3"/>
      <c r="AA55" s="3"/>
      <c r="AB55" s="3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</row>
    <row r="56" spans="1:48" x14ac:dyDescent="0.3">
      <c r="A56" s="5">
        <v>45964</v>
      </c>
      <c r="B56" s="21">
        <v>1050</v>
      </c>
      <c r="C56" s="4" t="s">
        <v>40</v>
      </c>
      <c r="D56" s="3"/>
      <c r="E56" s="3"/>
      <c r="F56" s="3"/>
      <c r="G56" s="3"/>
      <c r="H56" s="3"/>
      <c r="I56" s="3"/>
      <c r="J56" s="3"/>
      <c r="K56" s="3"/>
      <c r="L56" s="3"/>
      <c r="M56" s="21">
        <v>1</v>
      </c>
      <c r="N56" s="3">
        <v>14.7</v>
      </c>
      <c r="O56" s="15"/>
      <c r="P56" s="3"/>
      <c r="Q56" s="15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</row>
    <row r="57" spans="1:48" x14ac:dyDescent="0.3">
      <c r="A57" s="5">
        <v>45964</v>
      </c>
      <c r="B57" s="3">
        <v>1051</v>
      </c>
      <c r="C57" s="12" t="s">
        <v>44</v>
      </c>
      <c r="D57" s="3"/>
      <c r="E57" s="3"/>
      <c r="F57" s="3"/>
      <c r="G57" s="3"/>
      <c r="H57" s="3"/>
      <c r="I57" s="3"/>
      <c r="J57" s="3"/>
      <c r="K57" s="3"/>
      <c r="L57" s="3"/>
      <c r="M57" s="15"/>
      <c r="N57" s="3"/>
      <c r="O57" s="15">
        <v>-240</v>
      </c>
      <c r="P57" s="3">
        <v>-5355.58</v>
      </c>
      <c r="Q57" s="15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</row>
    <row r="58" spans="1:48" x14ac:dyDescent="0.3">
      <c r="A58" s="5">
        <v>45965</v>
      </c>
      <c r="B58" s="3" t="s">
        <v>21</v>
      </c>
      <c r="C58" s="17" t="s">
        <v>36</v>
      </c>
      <c r="D58" s="3"/>
      <c r="E58" s="3"/>
      <c r="F58" s="3"/>
      <c r="G58" s="3"/>
      <c r="H58" s="23">
        <v>-5</v>
      </c>
      <c r="I58" s="3"/>
      <c r="J58" s="3"/>
      <c r="K58" s="3"/>
      <c r="L58" s="3"/>
      <c r="M58" s="15"/>
      <c r="N58" s="3"/>
      <c r="O58" s="15"/>
      <c r="P58" s="3"/>
      <c r="Q58" s="15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</row>
    <row r="59" spans="1:48" x14ac:dyDescent="0.3">
      <c r="A59" s="5">
        <v>45965</v>
      </c>
      <c r="B59" s="3">
        <v>1052</v>
      </c>
      <c r="C59" s="4" t="s">
        <v>45</v>
      </c>
      <c r="D59" s="3"/>
      <c r="E59" s="3"/>
      <c r="F59" s="3"/>
      <c r="G59" s="3"/>
      <c r="H59" s="3"/>
      <c r="I59" s="3"/>
      <c r="J59" s="3"/>
      <c r="K59" s="3">
        <v>-524</v>
      </c>
      <c r="L59" s="3"/>
      <c r="M59" s="15"/>
      <c r="N59" s="3"/>
      <c r="O59" s="15"/>
      <c r="P59" s="3"/>
      <c r="Q59" s="15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</row>
    <row r="60" spans="1:48" x14ac:dyDescent="0.3">
      <c r="A60" s="5">
        <v>45966</v>
      </c>
      <c r="B60" s="3">
        <v>1053</v>
      </c>
      <c r="C60" s="12" t="s">
        <v>31</v>
      </c>
      <c r="D60" s="3"/>
      <c r="E60" s="3"/>
      <c r="F60" s="3"/>
      <c r="G60" s="3"/>
      <c r="H60" s="26">
        <v>-1</v>
      </c>
      <c r="I60" s="3"/>
      <c r="J60" s="3"/>
      <c r="K60" s="3"/>
      <c r="L60" s="3"/>
      <c r="M60" s="15"/>
      <c r="N60" s="3"/>
      <c r="O60" s="15"/>
      <c r="P60" s="3"/>
      <c r="Q60" s="15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</row>
    <row r="61" spans="1:48" x14ac:dyDescent="0.3">
      <c r="A61" s="5">
        <v>45966</v>
      </c>
      <c r="B61" s="3">
        <v>1054</v>
      </c>
      <c r="C61" s="4" t="s">
        <v>18</v>
      </c>
      <c r="D61" s="3"/>
      <c r="E61" s="3"/>
      <c r="F61" s="3"/>
      <c r="G61" s="3"/>
      <c r="H61" s="26">
        <v>-12</v>
      </c>
      <c r="I61" s="3"/>
      <c r="J61" s="3"/>
      <c r="K61" s="3"/>
      <c r="L61" s="3"/>
      <c r="M61" s="15"/>
      <c r="N61" s="3"/>
      <c r="O61" s="15"/>
      <c r="P61" s="3"/>
      <c r="Q61" s="15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</row>
    <row r="62" spans="1:48" x14ac:dyDescent="0.3">
      <c r="A62" s="5">
        <v>45966</v>
      </c>
      <c r="B62" s="3">
        <v>1055</v>
      </c>
      <c r="C62" s="4" t="s">
        <v>46</v>
      </c>
      <c r="D62" s="3"/>
      <c r="E62" s="3"/>
      <c r="F62" s="3"/>
      <c r="G62" s="3"/>
      <c r="H62" s="3"/>
      <c r="I62" s="3"/>
      <c r="J62" s="3"/>
      <c r="K62" s="3"/>
      <c r="L62" s="3"/>
      <c r="M62" s="23">
        <v>-80</v>
      </c>
      <c r="N62" s="3">
        <v>-1150.31</v>
      </c>
      <c r="O62" s="15"/>
      <c r="P62" s="3"/>
      <c r="Q62" s="15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</row>
    <row r="63" spans="1:48" x14ac:dyDescent="0.3">
      <c r="A63" s="5">
        <v>45966</v>
      </c>
      <c r="B63" s="3">
        <v>1056</v>
      </c>
      <c r="C63" s="6" t="s">
        <v>10</v>
      </c>
      <c r="D63" s="3">
        <v>-210</v>
      </c>
      <c r="E63" s="3">
        <v>-40</v>
      </c>
      <c r="F63" s="3"/>
      <c r="G63" s="3"/>
      <c r="H63" s="3"/>
      <c r="I63" s="3"/>
      <c r="J63" s="3"/>
      <c r="K63" s="3"/>
      <c r="L63" s="3"/>
      <c r="M63" s="15"/>
      <c r="N63" s="3"/>
      <c r="O63" s="15"/>
      <c r="P63" s="3"/>
      <c r="Q63" s="15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</row>
    <row r="64" spans="1:48" x14ac:dyDescent="0.3">
      <c r="A64" s="5">
        <v>45967</v>
      </c>
      <c r="B64" s="3" t="s">
        <v>21</v>
      </c>
      <c r="C64" s="17" t="s">
        <v>36</v>
      </c>
      <c r="D64" s="3"/>
      <c r="E64" s="3"/>
      <c r="F64" s="3"/>
      <c r="G64" s="3"/>
      <c r="H64" s="3"/>
      <c r="I64" s="3"/>
      <c r="J64" s="3"/>
      <c r="K64" s="3"/>
      <c r="L64" s="21">
        <v>-1</v>
      </c>
      <c r="M64" s="15"/>
      <c r="N64" s="3"/>
      <c r="O64" s="15"/>
      <c r="P64" s="3"/>
      <c r="Q64" s="15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</row>
    <row r="65" spans="1:48" x14ac:dyDescent="0.3">
      <c r="A65" s="5">
        <v>45967</v>
      </c>
      <c r="B65" s="3" t="s">
        <v>21</v>
      </c>
      <c r="C65" s="17" t="s">
        <v>36</v>
      </c>
      <c r="D65" s="3"/>
      <c r="E65" s="3"/>
      <c r="F65" s="3"/>
      <c r="G65" s="3"/>
      <c r="H65" s="2">
        <v>-10</v>
      </c>
      <c r="I65" s="3"/>
      <c r="J65" s="3"/>
      <c r="K65" s="3"/>
      <c r="L65" s="3"/>
      <c r="M65" s="15"/>
      <c r="N65" s="3"/>
      <c r="O65" s="15"/>
      <c r="P65" s="3"/>
      <c r="Q65" s="15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</row>
    <row r="66" spans="1:48" x14ac:dyDescent="0.3">
      <c r="A66" s="5">
        <v>45967</v>
      </c>
      <c r="B66" s="3">
        <v>1057</v>
      </c>
      <c r="C66" s="4" t="s">
        <v>13</v>
      </c>
      <c r="D66" s="3"/>
      <c r="E66" s="3">
        <v>-100</v>
      </c>
      <c r="F66" s="3"/>
      <c r="G66" s="3"/>
      <c r="H66" s="2">
        <v>-20</v>
      </c>
      <c r="I66" s="3"/>
      <c r="J66" s="3"/>
      <c r="K66" s="3"/>
      <c r="L66" s="3"/>
      <c r="M66" s="15"/>
      <c r="N66" s="3"/>
      <c r="O66" s="15"/>
      <c r="P66" s="3"/>
      <c r="Q66" s="15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</row>
    <row r="67" spans="1:48" x14ac:dyDescent="0.3">
      <c r="A67" s="5">
        <v>45967</v>
      </c>
      <c r="B67" s="3">
        <v>1058</v>
      </c>
      <c r="C67" s="4" t="s">
        <v>47</v>
      </c>
      <c r="D67" s="3"/>
      <c r="E67" s="3"/>
      <c r="F67" s="3"/>
      <c r="G67" s="3"/>
      <c r="H67" s="2">
        <v>-25</v>
      </c>
      <c r="I67" s="3"/>
      <c r="J67" s="3"/>
      <c r="K67" s="3"/>
      <c r="L67" s="3"/>
      <c r="M67" s="15"/>
      <c r="N67" s="3"/>
      <c r="O67" s="15"/>
      <c r="P67" s="3"/>
      <c r="Q67" s="15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</row>
    <row r="68" spans="1:48" x14ac:dyDescent="0.3">
      <c r="A68" s="5">
        <v>45967</v>
      </c>
      <c r="B68" s="3">
        <v>1059</v>
      </c>
      <c r="C68" s="12" t="s">
        <v>48</v>
      </c>
      <c r="D68" s="3"/>
      <c r="E68" s="3"/>
      <c r="F68" s="3"/>
      <c r="G68" s="3"/>
      <c r="H68" s="2">
        <v>-25</v>
      </c>
      <c r="I68" s="3"/>
      <c r="J68" s="3"/>
      <c r="K68" s="3"/>
      <c r="L68" s="3"/>
      <c r="M68" s="15"/>
      <c r="N68" s="3"/>
      <c r="O68" s="15"/>
      <c r="P68" s="3"/>
      <c r="Q68" s="15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</row>
    <row r="69" spans="1:48" x14ac:dyDescent="0.3">
      <c r="A69" s="5">
        <v>45967</v>
      </c>
      <c r="B69" s="3">
        <v>1060</v>
      </c>
      <c r="C69" s="4" t="s">
        <v>48</v>
      </c>
      <c r="D69" s="3"/>
      <c r="E69" s="3">
        <v>-75</v>
      </c>
      <c r="F69" s="3"/>
      <c r="G69" s="3"/>
      <c r="H69" s="3"/>
      <c r="I69" s="3"/>
      <c r="J69" s="3"/>
      <c r="K69" s="3"/>
      <c r="L69" s="3"/>
      <c r="M69" s="15"/>
      <c r="N69" s="3"/>
      <c r="O69" s="15"/>
      <c r="P69" s="3"/>
      <c r="Q69" s="15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</row>
    <row r="70" spans="1:48" x14ac:dyDescent="0.3">
      <c r="A70" s="5">
        <v>45969</v>
      </c>
      <c r="B70" s="3">
        <v>1061</v>
      </c>
      <c r="C70" s="4" t="s">
        <v>48</v>
      </c>
      <c r="D70" s="3"/>
      <c r="E70" s="3"/>
      <c r="F70" s="3"/>
      <c r="G70" s="3"/>
      <c r="H70" s="3"/>
      <c r="I70" s="3"/>
      <c r="J70" s="3"/>
      <c r="K70" s="3"/>
      <c r="L70" s="3"/>
      <c r="M70" s="15"/>
      <c r="N70" s="3"/>
      <c r="O70" s="15">
        <v>-1</v>
      </c>
      <c r="P70" s="3">
        <v>-21.01</v>
      </c>
      <c r="Q70" s="15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</row>
    <row r="71" spans="1:48" x14ac:dyDescent="0.3">
      <c r="A71" s="5">
        <v>45970</v>
      </c>
      <c r="B71" s="21">
        <v>1062</v>
      </c>
      <c r="C71" s="22" t="s">
        <v>44</v>
      </c>
      <c r="D71" s="3"/>
      <c r="E71" s="3"/>
      <c r="F71" s="3"/>
      <c r="G71" s="3"/>
      <c r="H71" s="3"/>
      <c r="I71" s="3"/>
      <c r="J71" s="3"/>
      <c r="K71" s="3"/>
      <c r="L71" s="3"/>
      <c r="M71" s="15"/>
      <c r="N71" s="3"/>
      <c r="O71" s="15"/>
      <c r="P71" s="3"/>
      <c r="Q71" s="15">
        <v>154</v>
      </c>
      <c r="R71" s="3">
        <v>3473.39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</row>
    <row r="72" spans="1:48" x14ac:dyDescent="0.3">
      <c r="A72" s="5">
        <v>45970</v>
      </c>
      <c r="B72" s="3" t="s">
        <v>21</v>
      </c>
      <c r="C72" s="17" t="s">
        <v>36</v>
      </c>
      <c r="D72" s="3"/>
      <c r="E72" s="3"/>
      <c r="F72" s="3"/>
      <c r="G72" s="3"/>
      <c r="H72" s="3">
        <v>-5</v>
      </c>
      <c r="I72" s="3"/>
      <c r="J72" s="3"/>
      <c r="K72" s="3"/>
      <c r="L72" s="3"/>
      <c r="M72" s="15"/>
      <c r="N72" s="3"/>
      <c r="O72" s="15"/>
      <c r="P72" s="3"/>
      <c r="Q72" s="15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</row>
    <row r="73" spans="1:48" x14ac:dyDescent="0.3">
      <c r="A73" s="5">
        <v>45971</v>
      </c>
      <c r="B73" s="3">
        <v>1063</v>
      </c>
      <c r="C73" s="4" t="s">
        <v>40</v>
      </c>
      <c r="D73" s="3"/>
      <c r="E73" s="3"/>
      <c r="F73" s="3"/>
      <c r="G73" s="3"/>
      <c r="H73" s="3"/>
      <c r="I73" s="3"/>
      <c r="J73" s="3"/>
      <c r="K73" s="3"/>
      <c r="L73" s="3"/>
      <c r="M73" s="15"/>
      <c r="N73" s="3"/>
      <c r="O73" s="15">
        <v>-2</v>
      </c>
      <c r="P73" s="3">
        <v>-44.8</v>
      </c>
      <c r="Q73" s="15"/>
      <c r="R73" s="3"/>
      <c r="S73" s="3">
        <v>-5</v>
      </c>
      <c r="T73" s="3"/>
      <c r="U73" s="3"/>
      <c r="V73" s="3"/>
      <c r="W73" s="3"/>
      <c r="X73" s="3"/>
      <c r="Y73" s="3"/>
      <c r="Z73" s="3"/>
      <c r="AA73" s="3"/>
      <c r="AB73" s="3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</row>
    <row r="74" spans="1:48" x14ac:dyDescent="0.3">
      <c r="A74" s="5">
        <v>45971</v>
      </c>
      <c r="B74" s="3">
        <v>1064</v>
      </c>
      <c r="C74" s="6" t="s">
        <v>10</v>
      </c>
      <c r="D74" s="3"/>
      <c r="E74" s="3">
        <v>-250</v>
      </c>
      <c r="F74" s="3"/>
      <c r="G74" s="3"/>
      <c r="H74" s="3"/>
      <c r="I74" s="3"/>
      <c r="J74" s="3"/>
      <c r="K74" s="3"/>
      <c r="L74" s="3"/>
      <c r="M74" s="15"/>
      <c r="N74" s="3"/>
      <c r="O74" s="15"/>
      <c r="P74" s="3"/>
      <c r="Q74" s="15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</row>
    <row r="75" spans="1:48" x14ac:dyDescent="0.3">
      <c r="A75" s="5">
        <v>45972</v>
      </c>
      <c r="B75" s="3">
        <v>1065</v>
      </c>
      <c r="C75" s="4" t="s">
        <v>51</v>
      </c>
      <c r="D75" s="3"/>
      <c r="E75" s="3"/>
      <c r="F75" s="3"/>
      <c r="G75" s="3"/>
      <c r="H75" s="23">
        <v>-900</v>
      </c>
      <c r="I75" s="3"/>
      <c r="J75" s="3"/>
      <c r="K75" s="3"/>
      <c r="L75" s="3"/>
      <c r="M75" s="15"/>
      <c r="N75" s="3"/>
      <c r="O75" s="15"/>
      <c r="P75" s="3"/>
      <c r="Q75" s="15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</row>
    <row r="76" spans="1:48" x14ac:dyDescent="0.3">
      <c r="A76" s="5">
        <v>45972</v>
      </c>
      <c r="B76" s="3">
        <v>1066</v>
      </c>
      <c r="C76" s="4" t="s">
        <v>52</v>
      </c>
      <c r="D76" s="3"/>
      <c r="E76" s="3"/>
      <c r="F76" s="3"/>
      <c r="G76" s="3"/>
      <c r="H76" s="3"/>
      <c r="I76" s="3"/>
      <c r="J76" s="3"/>
      <c r="K76" s="3"/>
      <c r="L76" s="21">
        <v>-22</v>
      </c>
      <c r="M76" s="15"/>
      <c r="N76" s="3"/>
      <c r="O76" s="15"/>
      <c r="P76" s="3"/>
      <c r="Q76" s="15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</row>
    <row r="77" spans="1:48" x14ac:dyDescent="0.3">
      <c r="A77" s="5">
        <v>45972</v>
      </c>
      <c r="B77" s="3">
        <v>1067</v>
      </c>
      <c r="C77" s="4" t="s">
        <v>53</v>
      </c>
      <c r="D77" s="3"/>
      <c r="E77" s="3"/>
      <c r="F77" s="3"/>
      <c r="G77" s="3"/>
      <c r="H77" s="3"/>
      <c r="I77" s="3"/>
      <c r="J77" s="3"/>
      <c r="K77" s="3"/>
      <c r="L77" s="3"/>
      <c r="M77" s="15"/>
      <c r="N77" s="3"/>
      <c r="O77" s="15"/>
      <c r="P77" s="3"/>
      <c r="Q77" s="15">
        <v>-50</v>
      </c>
      <c r="R77" s="3">
        <v>-1102.04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</row>
    <row r="78" spans="1:48" x14ac:dyDescent="0.3">
      <c r="A78" s="5">
        <v>45972</v>
      </c>
      <c r="B78" s="3">
        <v>1068</v>
      </c>
      <c r="C78" s="4" t="s">
        <v>54</v>
      </c>
      <c r="D78" s="3"/>
      <c r="E78" s="3"/>
      <c r="F78" s="3"/>
      <c r="G78" s="3"/>
      <c r="H78" s="3"/>
      <c r="I78" s="3">
        <v>-60</v>
      </c>
      <c r="J78" s="3"/>
      <c r="K78" s="3"/>
      <c r="L78" s="3"/>
      <c r="M78" s="15"/>
      <c r="N78" s="3"/>
      <c r="O78" s="15"/>
      <c r="P78" s="3"/>
      <c r="Q78" s="15">
        <v>-14</v>
      </c>
      <c r="R78" s="3">
        <v>-326.36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</row>
    <row r="79" spans="1:48" x14ac:dyDescent="0.3">
      <c r="A79" s="27">
        <v>45973</v>
      </c>
      <c r="B79" s="28">
        <v>1069</v>
      </c>
      <c r="C79" s="29" t="s">
        <v>10</v>
      </c>
      <c r="D79" s="28"/>
      <c r="E79" s="28"/>
      <c r="F79" s="28">
        <v>-2400</v>
      </c>
      <c r="G79" s="28"/>
      <c r="H79" s="3"/>
      <c r="I79" s="3"/>
      <c r="J79" s="3"/>
      <c r="K79" s="3"/>
      <c r="L79" s="3"/>
      <c r="M79" s="15"/>
      <c r="N79" s="3"/>
      <c r="O79" s="15"/>
      <c r="P79" s="3"/>
      <c r="Q79" s="15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</row>
    <row r="80" spans="1:48" x14ac:dyDescent="0.3">
      <c r="A80" s="5">
        <v>45974</v>
      </c>
      <c r="B80" s="3">
        <v>1070</v>
      </c>
      <c r="C80" s="4" t="s">
        <v>13</v>
      </c>
      <c r="D80" s="3"/>
      <c r="E80" s="3">
        <v>-50</v>
      </c>
      <c r="F80" s="3"/>
      <c r="G80" s="3"/>
      <c r="H80" s="3">
        <v>-30</v>
      </c>
      <c r="I80" s="3"/>
      <c r="J80" s="3"/>
      <c r="K80" s="3"/>
      <c r="L80" s="3"/>
      <c r="M80" s="15"/>
      <c r="N80" s="3"/>
      <c r="O80" s="15"/>
      <c r="P80" s="3"/>
      <c r="Q80" s="15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</row>
    <row r="81" spans="1:48" x14ac:dyDescent="0.3">
      <c r="A81" s="5">
        <v>45974</v>
      </c>
      <c r="B81" s="3">
        <v>1071</v>
      </c>
      <c r="C81" s="12" t="s">
        <v>58</v>
      </c>
      <c r="D81" s="3"/>
      <c r="E81" s="3"/>
      <c r="F81" s="3"/>
      <c r="G81" s="3"/>
      <c r="H81" s="3">
        <v>-15</v>
      </c>
      <c r="I81" s="3"/>
      <c r="J81" s="3"/>
      <c r="K81" s="3"/>
      <c r="L81" s="3"/>
      <c r="M81" s="15"/>
      <c r="N81" s="3"/>
      <c r="O81" s="15"/>
      <c r="P81" s="3"/>
      <c r="Q81" s="15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</row>
    <row r="82" spans="1:48" x14ac:dyDescent="0.3">
      <c r="A82" s="5">
        <v>45976</v>
      </c>
      <c r="B82" s="3">
        <v>1072</v>
      </c>
      <c r="C82" s="4" t="s">
        <v>59</v>
      </c>
      <c r="D82" s="3"/>
      <c r="E82" s="3">
        <v>-50</v>
      </c>
      <c r="F82" s="3"/>
      <c r="G82" s="3"/>
      <c r="H82" s="3"/>
      <c r="I82" s="3"/>
      <c r="J82" s="3"/>
      <c r="K82" s="3"/>
      <c r="L82" s="3"/>
      <c r="M82" s="15"/>
      <c r="N82" s="3"/>
      <c r="O82" s="15"/>
      <c r="P82" s="3"/>
      <c r="Q82" s="15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</row>
    <row r="83" spans="1:48" ht="15" customHeight="1" x14ac:dyDescent="0.3">
      <c r="A83" s="5">
        <v>45977</v>
      </c>
      <c r="B83" s="3">
        <v>1073</v>
      </c>
      <c r="C83" s="4" t="s">
        <v>60</v>
      </c>
      <c r="D83" s="3"/>
      <c r="E83" s="3"/>
      <c r="F83" s="3"/>
      <c r="G83" s="3"/>
      <c r="H83" s="3">
        <v>-5</v>
      </c>
      <c r="I83" s="3"/>
      <c r="J83" s="3"/>
      <c r="K83" s="3"/>
      <c r="L83" s="3"/>
      <c r="M83" s="15"/>
      <c r="N83" s="3"/>
      <c r="O83" s="15"/>
      <c r="P83" s="3"/>
      <c r="Q83" s="15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</row>
    <row r="84" spans="1:48" x14ac:dyDescent="0.3">
      <c r="A84" s="30">
        <v>45977</v>
      </c>
      <c r="B84" s="25" t="s">
        <v>62</v>
      </c>
      <c r="C84" s="17" t="s">
        <v>74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v>5</v>
      </c>
      <c r="T84" s="25"/>
      <c r="U84" s="25"/>
      <c r="V84" s="25"/>
      <c r="W84" s="25"/>
      <c r="X84" s="25"/>
      <c r="Y84" s="25"/>
      <c r="Z84" s="25"/>
      <c r="AA84" s="25"/>
      <c r="AB84" s="25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7"/>
      <c r="AT84" s="39"/>
      <c r="AU84" s="39"/>
      <c r="AV84" s="39"/>
    </row>
    <row r="85" spans="1:48" x14ac:dyDescent="0.3">
      <c r="A85" s="30">
        <v>45973</v>
      </c>
      <c r="B85" s="25" t="s">
        <v>62</v>
      </c>
      <c r="C85" s="17" t="s">
        <v>63</v>
      </c>
      <c r="D85" s="25"/>
      <c r="E85" s="25"/>
      <c r="F85" s="25">
        <v>2400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7"/>
      <c r="AT85" s="39"/>
      <c r="AU85" s="39"/>
      <c r="AV85" s="39"/>
    </row>
    <row r="86" spans="1:48" x14ac:dyDescent="0.3">
      <c r="A86" s="30">
        <v>45974</v>
      </c>
      <c r="B86" s="25" t="s">
        <v>62</v>
      </c>
      <c r="C86" s="17" t="s">
        <v>68</v>
      </c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>
        <v>220</v>
      </c>
      <c r="W86" s="25">
        <v>410</v>
      </c>
      <c r="X86" s="25">
        <v>220</v>
      </c>
      <c r="Y86" s="25">
        <v>350</v>
      </c>
      <c r="Z86" s="25"/>
      <c r="AA86" s="25"/>
      <c r="AB86" s="25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7"/>
      <c r="AT86" s="39"/>
      <c r="AU86" s="39"/>
      <c r="AV86" s="39"/>
    </row>
    <row r="87" spans="1:48" x14ac:dyDescent="0.3">
      <c r="A87" s="5">
        <v>45977</v>
      </c>
      <c r="B87" s="3">
        <v>1074</v>
      </c>
      <c r="C87" s="4" t="s">
        <v>40</v>
      </c>
      <c r="D87" s="3"/>
      <c r="E87" s="3">
        <v>-10</v>
      </c>
      <c r="F87" s="3"/>
      <c r="G87" s="3"/>
      <c r="H87" s="3"/>
      <c r="I87" s="3">
        <v>-10</v>
      </c>
      <c r="J87" s="3"/>
      <c r="K87" s="3"/>
      <c r="L87" s="3"/>
      <c r="M87" s="15"/>
      <c r="N87" s="3"/>
      <c r="O87" s="15"/>
      <c r="P87" s="3"/>
      <c r="Q87" s="15">
        <v>-3</v>
      </c>
      <c r="R87" s="3">
        <v>-64.290000000000006</v>
      </c>
      <c r="S87" s="3">
        <v>-5</v>
      </c>
      <c r="T87" s="3"/>
      <c r="U87" s="3"/>
      <c r="V87" s="3"/>
      <c r="W87" s="3"/>
      <c r="X87" s="3"/>
      <c r="Y87" s="3">
        <v>-5</v>
      </c>
      <c r="Z87" s="3"/>
      <c r="AA87" s="3"/>
      <c r="AB87" s="3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</row>
    <row r="88" spans="1:48" x14ac:dyDescent="0.3">
      <c r="A88" s="5">
        <v>45977</v>
      </c>
      <c r="B88" s="3">
        <v>1075</v>
      </c>
      <c r="C88" s="12" t="s">
        <v>48</v>
      </c>
      <c r="D88" s="3"/>
      <c r="E88" s="3"/>
      <c r="F88" s="3"/>
      <c r="G88" s="3"/>
      <c r="H88" s="3"/>
      <c r="I88" s="3"/>
      <c r="J88" s="3"/>
      <c r="K88" s="3"/>
      <c r="L88" s="3"/>
      <c r="M88" s="15">
        <v>-2</v>
      </c>
      <c r="N88" s="3">
        <v>-28.79</v>
      </c>
      <c r="O88" s="15"/>
      <c r="P88" s="3"/>
      <c r="Q88" s="15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</row>
    <row r="89" spans="1:48" x14ac:dyDescent="0.3">
      <c r="A89" s="5">
        <v>45977</v>
      </c>
      <c r="B89" s="3">
        <v>1076</v>
      </c>
      <c r="C89" s="4" t="s">
        <v>53</v>
      </c>
      <c r="D89" s="3"/>
      <c r="E89" s="3"/>
      <c r="F89" s="3"/>
      <c r="G89" s="3"/>
      <c r="H89" s="3"/>
      <c r="I89" s="3"/>
      <c r="J89" s="3"/>
      <c r="K89" s="3"/>
      <c r="L89" s="3"/>
      <c r="M89" s="15"/>
      <c r="N89" s="3"/>
      <c r="O89" s="15"/>
      <c r="P89" s="3"/>
      <c r="Q89" s="15"/>
      <c r="R89" s="3"/>
      <c r="S89" s="3"/>
      <c r="T89" s="3"/>
      <c r="U89" s="3"/>
      <c r="V89" s="3"/>
      <c r="W89" s="3"/>
      <c r="X89" s="3"/>
      <c r="Y89" s="3">
        <v>-50</v>
      </c>
      <c r="Z89" s="3"/>
      <c r="AA89" s="3"/>
      <c r="AB89" s="3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</row>
    <row r="90" spans="1:48" x14ac:dyDescent="0.3">
      <c r="A90" s="5">
        <v>45977</v>
      </c>
      <c r="B90" s="3">
        <v>1077</v>
      </c>
      <c r="C90" s="4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15"/>
      <c r="N90" s="3"/>
      <c r="O90" s="15"/>
      <c r="P90" s="3"/>
      <c r="Q90" s="15"/>
      <c r="R90" s="3"/>
      <c r="S90" s="3"/>
      <c r="T90" s="3"/>
      <c r="U90" s="3"/>
      <c r="V90" s="3"/>
      <c r="W90" s="3"/>
      <c r="X90" s="3"/>
      <c r="Y90" s="3">
        <v>-25</v>
      </c>
      <c r="Z90" s="3"/>
      <c r="AA90" s="3"/>
      <c r="AB90" s="3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</row>
    <row r="91" spans="1:48" x14ac:dyDescent="0.3">
      <c r="A91" s="5">
        <v>45977</v>
      </c>
      <c r="B91" s="3">
        <v>1078</v>
      </c>
      <c r="C91" s="4" t="s">
        <v>69</v>
      </c>
      <c r="D91" s="3"/>
      <c r="E91" s="3">
        <v>-30</v>
      </c>
      <c r="F91" s="3"/>
      <c r="G91" s="3"/>
      <c r="H91" s="3"/>
      <c r="I91" s="3"/>
      <c r="J91" s="3"/>
      <c r="K91" s="3"/>
      <c r="L91" s="3"/>
      <c r="M91" s="15"/>
      <c r="N91" s="3"/>
      <c r="O91" s="15"/>
      <c r="P91" s="3"/>
      <c r="Q91" s="15">
        <v>-10</v>
      </c>
      <c r="R91" s="3">
        <v>-221.12</v>
      </c>
      <c r="S91" s="3"/>
      <c r="T91" s="3"/>
      <c r="U91" s="3"/>
      <c r="V91" s="3"/>
      <c r="W91" s="3">
        <v>-10</v>
      </c>
      <c r="X91" s="3"/>
      <c r="Y91" s="3">
        <v>-10</v>
      </c>
      <c r="Z91" s="3"/>
      <c r="AA91" s="3"/>
      <c r="AB91" s="3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</row>
    <row r="92" spans="1:48" x14ac:dyDescent="0.3">
      <c r="A92" s="5">
        <v>45978</v>
      </c>
      <c r="B92" s="3">
        <v>1079</v>
      </c>
      <c r="C92" s="4" t="s">
        <v>40</v>
      </c>
      <c r="D92" s="3"/>
      <c r="E92" s="3"/>
      <c r="F92" s="3"/>
      <c r="G92" s="3"/>
      <c r="H92" s="3"/>
      <c r="I92" s="3"/>
      <c r="J92" s="3"/>
      <c r="K92" s="3"/>
      <c r="L92" s="3">
        <v>-2</v>
      </c>
      <c r="M92" s="15"/>
      <c r="N92" s="3"/>
      <c r="O92" s="15"/>
      <c r="P92" s="3"/>
      <c r="Q92" s="15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</row>
    <row r="93" spans="1:48" x14ac:dyDescent="0.3">
      <c r="A93" s="5">
        <v>45978</v>
      </c>
      <c r="B93" s="3">
        <v>1080</v>
      </c>
      <c r="C93" s="4" t="s">
        <v>70</v>
      </c>
      <c r="D93" s="3"/>
      <c r="E93" s="3"/>
      <c r="F93" s="3"/>
      <c r="G93" s="3"/>
      <c r="H93" s="3"/>
      <c r="I93" s="3"/>
      <c r="J93" s="3"/>
      <c r="K93" s="3"/>
      <c r="L93" s="3"/>
      <c r="M93" s="15"/>
      <c r="N93" s="3"/>
      <c r="O93" s="15"/>
      <c r="P93" s="3"/>
      <c r="Q93" s="15"/>
      <c r="R93" s="3"/>
      <c r="S93" s="3"/>
      <c r="T93" s="3"/>
      <c r="U93" s="3"/>
      <c r="V93" s="3"/>
      <c r="W93" s="3"/>
      <c r="X93" s="3">
        <v>-50</v>
      </c>
      <c r="Y93" s="3"/>
      <c r="Z93" s="3"/>
      <c r="AA93" s="3"/>
      <c r="AB93" s="3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</row>
    <row r="94" spans="1:48" x14ac:dyDescent="0.3">
      <c r="A94" s="31">
        <v>45979</v>
      </c>
      <c r="B94" s="21">
        <v>1081</v>
      </c>
      <c r="C94" s="32" t="s">
        <v>52</v>
      </c>
      <c r="D94" s="21"/>
      <c r="E94" s="21"/>
      <c r="F94" s="21"/>
      <c r="G94" s="21"/>
      <c r="H94" s="21"/>
      <c r="I94" s="21"/>
      <c r="J94" s="21"/>
      <c r="K94" s="21"/>
      <c r="L94" s="21">
        <v>22</v>
      </c>
      <c r="M94" s="15"/>
      <c r="N94" s="3"/>
      <c r="O94" s="15"/>
      <c r="P94" s="3"/>
      <c r="Q94" s="15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</row>
    <row r="95" spans="1:48" x14ac:dyDescent="0.3">
      <c r="A95" s="30">
        <v>45978</v>
      </c>
      <c r="B95" s="25" t="s">
        <v>62</v>
      </c>
      <c r="C95" s="17" t="s">
        <v>71</v>
      </c>
      <c r="D95" s="25"/>
      <c r="E95" s="25"/>
      <c r="F95" s="25"/>
      <c r="G95" s="25"/>
      <c r="H95" s="25">
        <v>901</v>
      </c>
      <c r="I95" s="25"/>
      <c r="J95" s="25"/>
      <c r="K95" s="25">
        <v>450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7"/>
      <c r="AT95" s="39"/>
      <c r="AU95" s="39"/>
      <c r="AV95" s="39"/>
    </row>
    <row r="96" spans="1:48" x14ac:dyDescent="0.3">
      <c r="A96" s="5">
        <v>45979</v>
      </c>
      <c r="B96" s="3">
        <v>1082</v>
      </c>
      <c r="C96" s="12" t="s">
        <v>72</v>
      </c>
      <c r="D96" s="3"/>
      <c r="E96" s="3">
        <v>-500</v>
      </c>
      <c r="F96" s="3"/>
      <c r="G96" s="3"/>
      <c r="H96" s="3"/>
      <c r="I96" s="3"/>
      <c r="J96" s="3"/>
      <c r="K96" s="3"/>
      <c r="L96" s="3"/>
      <c r="M96" s="15"/>
      <c r="N96" s="3"/>
      <c r="O96" s="15"/>
      <c r="P96" s="3"/>
      <c r="Q96" s="15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</row>
    <row r="97" spans="1:48" x14ac:dyDescent="0.3">
      <c r="A97" s="5">
        <v>45979</v>
      </c>
      <c r="B97" s="3">
        <v>1083</v>
      </c>
      <c r="C97" s="12" t="s">
        <v>60</v>
      </c>
      <c r="D97" s="3"/>
      <c r="E97" s="3"/>
      <c r="F97" s="3"/>
      <c r="G97" s="3"/>
      <c r="H97" s="3"/>
      <c r="I97" s="3"/>
      <c r="J97" s="3"/>
      <c r="K97" s="3"/>
      <c r="L97" s="3">
        <v>-20</v>
      </c>
      <c r="M97" s="15"/>
      <c r="N97" s="3"/>
      <c r="O97" s="15"/>
      <c r="P97" s="3"/>
      <c r="Q97" s="15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</row>
    <row r="98" spans="1:48" x14ac:dyDescent="0.3">
      <c r="A98" s="31">
        <v>45979</v>
      </c>
      <c r="B98" s="21">
        <v>1084</v>
      </c>
      <c r="C98" s="22" t="s">
        <v>72</v>
      </c>
      <c r="D98" s="21"/>
      <c r="E98" s="21">
        <v>250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37"/>
      <c r="AT98" s="40"/>
      <c r="AU98" s="40"/>
      <c r="AV98" s="40"/>
    </row>
    <row r="99" spans="1:48" x14ac:dyDescent="0.3">
      <c r="A99" s="5">
        <v>45979</v>
      </c>
      <c r="B99" s="3">
        <v>1085</v>
      </c>
      <c r="C99" s="4" t="s">
        <v>45</v>
      </c>
      <c r="D99" s="3"/>
      <c r="E99" s="3">
        <v>-845</v>
      </c>
      <c r="F99" s="3"/>
      <c r="G99" s="3"/>
      <c r="H99" s="3"/>
      <c r="I99" s="3"/>
      <c r="J99" s="3"/>
      <c r="K99" s="3"/>
      <c r="L99" s="3"/>
      <c r="M99" s="15"/>
      <c r="N99" s="3"/>
      <c r="O99" s="15"/>
      <c r="P99" s="3"/>
      <c r="Q99" s="15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</row>
    <row r="100" spans="1:48" x14ac:dyDescent="0.3">
      <c r="A100" s="5">
        <v>45979</v>
      </c>
      <c r="B100" s="3">
        <v>1086</v>
      </c>
      <c r="C100" s="4" t="s">
        <v>39</v>
      </c>
      <c r="D100" s="3"/>
      <c r="E100" s="3"/>
      <c r="F100" s="3"/>
      <c r="G100" s="3"/>
      <c r="H100" s="3"/>
      <c r="I100" s="3"/>
      <c r="J100" s="3"/>
      <c r="K100" s="3"/>
      <c r="L100" s="3"/>
      <c r="M100" s="15"/>
      <c r="N100" s="3"/>
      <c r="O100" s="15">
        <v>-50</v>
      </c>
      <c r="P100" s="3">
        <v>-1052.73</v>
      </c>
      <c r="Q100" s="15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</row>
    <row r="101" spans="1:48" x14ac:dyDescent="0.3">
      <c r="A101" s="5">
        <v>45979</v>
      </c>
      <c r="B101" s="3">
        <v>1087</v>
      </c>
      <c r="C101" s="12" t="s">
        <v>19</v>
      </c>
      <c r="D101" s="3"/>
      <c r="E101" s="3"/>
      <c r="F101" s="3"/>
      <c r="G101" s="3"/>
      <c r="H101" s="3">
        <v>-30</v>
      </c>
      <c r="I101" s="3"/>
      <c r="J101" s="3"/>
      <c r="K101" s="3"/>
      <c r="L101" s="3"/>
      <c r="M101" s="15"/>
      <c r="N101" s="3"/>
      <c r="O101" s="15"/>
      <c r="P101" s="3"/>
      <c r="Q101" s="15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</row>
    <row r="102" spans="1:48" x14ac:dyDescent="0.3">
      <c r="A102" s="5">
        <v>45979</v>
      </c>
      <c r="B102" s="3">
        <v>1088</v>
      </c>
      <c r="C102" s="12" t="s">
        <v>60</v>
      </c>
      <c r="D102" s="3"/>
      <c r="E102" s="3"/>
      <c r="F102" s="3"/>
      <c r="G102" s="3"/>
      <c r="H102" s="3">
        <v>-5</v>
      </c>
      <c r="I102" s="3"/>
      <c r="J102" s="3"/>
      <c r="K102" s="3"/>
      <c r="L102" s="3"/>
      <c r="M102" s="15"/>
      <c r="N102" s="3"/>
      <c r="O102" s="15"/>
      <c r="P102" s="3"/>
      <c r="Q102" s="15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</row>
    <row r="103" spans="1:48" x14ac:dyDescent="0.3">
      <c r="A103" s="5">
        <v>45979</v>
      </c>
      <c r="B103" s="3">
        <v>1089</v>
      </c>
      <c r="C103" s="4" t="s">
        <v>18</v>
      </c>
      <c r="D103" s="3"/>
      <c r="E103" s="3"/>
      <c r="F103" s="3"/>
      <c r="G103" s="3"/>
      <c r="H103" s="3">
        <v>-7</v>
      </c>
      <c r="I103" s="3"/>
      <c r="J103" s="3"/>
      <c r="K103" s="3"/>
      <c r="L103" s="3"/>
      <c r="M103" s="15"/>
      <c r="N103" s="3"/>
      <c r="O103" s="15"/>
      <c r="P103" s="3"/>
      <c r="Q103" s="15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</row>
    <row r="104" spans="1:48" x14ac:dyDescent="0.3">
      <c r="A104" s="5">
        <v>45979</v>
      </c>
      <c r="B104" s="3">
        <v>1090</v>
      </c>
      <c r="C104" s="4" t="s">
        <v>69</v>
      </c>
      <c r="D104" s="3"/>
      <c r="E104" s="3"/>
      <c r="F104" s="3"/>
      <c r="G104" s="3"/>
      <c r="H104" s="3"/>
      <c r="I104" s="3"/>
      <c r="J104" s="3"/>
      <c r="K104" s="3">
        <v>-50</v>
      </c>
      <c r="L104" s="3"/>
      <c r="M104" s="15"/>
      <c r="N104" s="3"/>
      <c r="O104" s="15"/>
      <c r="P104" s="3"/>
      <c r="Q104" s="15"/>
      <c r="R104" s="3"/>
      <c r="S104" s="3"/>
      <c r="T104" s="3"/>
      <c r="U104" s="3"/>
      <c r="V104" s="3"/>
      <c r="W104" s="3">
        <v>-20</v>
      </c>
      <c r="X104" s="3"/>
      <c r="Y104" s="3"/>
      <c r="Z104" s="3"/>
      <c r="AA104" s="3"/>
      <c r="AB104" s="3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</row>
    <row r="105" spans="1:48" x14ac:dyDescent="0.3">
      <c r="A105" s="5">
        <v>45979</v>
      </c>
      <c r="B105" s="3">
        <v>1091</v>
      </c>
      <c r="C105" s="4" t="s">
        <v>73</v>
      </c>
      <c r="D105" s="3"/>
      <c r="E105" s="3"/>
      <c r="F105" s="3"/>
      <c r="G105" s="3"/>
      <c r="H105" s="3"/>
      <c r="I105" s="3">
        <v>-50</v>
      </c>
      <c r="J105" s="3"/>
      <c r="K105" s="3">
        <v>-100</v>
      </c>
      <c r="L105" s="3"/>
      <c r="M105" s="15"/>
      <c r="N105" s="3"/>
      <c r="O105" s="15"/>
      <c r="P105" s="3"/>
      <c r="Q105" s="15"/>
      <c r="R105" s="3"/>
      <c r="S105" s="3"/>
      <c r="T105" s="3"/>
      <c r="U105" s="3"/>
      <c r="V105" s="3"/>
      <c r="W105" s="3"/>
      <c r="X105" s="3"/>
      <c r="Y105" s="3">
        <v>-50</v>
      </c>
      <c r="Z105" s="3"/>
      <c r="AA105" s="3"/>
      <c r="AB105" s="3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</row>
    <row r="106" spans="1:48" x14ac:dyDescent="0.3">
      <c r="A106" s="5">
        <v>45979</v>
      </c>
      <c r="B106" s="3">
        <v>1092</v>
      </c>
      <c r="C106" s="4" t="s">
        <v>53</v>
      </c>
      <c r="D106" s="3"/>
      <c r="E106" s="3">
        <v>-300</v>
      </c>
      <c r="F106" s="3"/>
      <c r="G106" s="3"/>
      <c r="H106" s="3"/>
      <c r="I106" s="3"/>
      <c r="J106" s="3"/>
      <c r="K106" s="3"/>
      <c r="L106" s="3"/>
      <c r="M106" s="15"/>
      <c r="N106" s="3"/>
      <c r="O106" s="15"/>
      <c r="P106" s="3"/>
      <c r="Q106" s="15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</row>
    <row r="107" spans="1:48" x14ac:dyDescent="0.3">
      <c r="A107" s="5">
        <v>45980</v>
      </c>
      <c r="B107" s="3">
        <v>1093</v>
      </c>
      <c r="C107" s="4" t="s">
        <v>45</v>
      </c>
      <c r="D107" s="3"/>
      <c r="E107" s="3"/>
      <c r="F107" s="3"/>
      <c r="G107" s="3"/>
      <c r="H107" s="3"/>
      <c r="I107" s="3"/>
      <c r="J107" s="3"/>
      <c r="K107" s="3"/>
      <c r="L107" s="3"/>
      <c r="M107" s="15"/>
      <c r="N107" s="3"/>
      <c r="O107" s="15">
        <v>-100</v>
      </c>
      <c r="P107" s="3">
        <v>-2206.34</v>
      </c>
      <c r="Q107" s="15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</row>
    <row r="108" spans="1:48" x14ac:dyDescent="0.3">
      <c r="A108" s="30">
        <v>45981</v>
      </c>
      <c r="B108" s="25" t="s">
        <v>62</v>
      </c>
      <c r="C108" s="17" t="s">
        <v>75</v>
      </c>
      <c r="D108" s="25"/>
      <c r="E108" s="25"/>
      <c r="F108" s="25"/>
      <c r="G108" s="25">
        <v>2000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7"/>
      <c r="AT108" s="39"/>
      <c r="AU108" s="39"/>
      <c r="AV108" s="39"/>
    </row>
    <row r="109" spans="1:48" x14ac:dyDescent="0.3">
      <c r="A109" s="30">
        <v>45981</v>
      </c>
      <c r="B109" s="25" t="s">
        <v>62</v>
      </c>
      <c r="C109" s="17" t="s">
        <v>76</v>
      </c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7"/>
      <c r="AT109" s="39"/>
      <c r="AU109" s="39"/>
      <c r="AV109" s="39"/>
    </row>
    <row r="110" spans="1:48" x14ac:dyDescent="0.3">
      <c r="A110" s="5">
        <v>45980</v>
      </c>
      <c r="B110" s="3">
        <v>1094</v>
      </c>
      <c r="C110" s="4" t="s">
        <v>30</v>
      </c>
      <c r="D110" s="3"/>
      <c r="E110" s="3"/>
      <c r="F110" s="3"/>
      <c r="G110" s="3"/>
      <c r="H110" s="3"/>
      <c r="I110" s="3"/>
      <c r="J110" s="3"/>
      <c r="K110" s="3">
        <v>-1</v>
      </c>
      <c r="L110" s="3"/>
      <c r="M110" s="15"/>
      <c r="N110" s="3"/>
      <c r="O110" s="15"/>
      <c r="P110" s="3"/>
      <c r="Q110" s="15"/>
      <c r="R110" s="3"/>
      <c r="S110" s="3"/>
      <c r="T110" s="3"/>
      <c r="U110" s="3"/>
      <c r="V110" s="3"/>
      <c r="W110" s="3">
        <v>-1</v>
      </c>
      <c r="X110" s="3"/>
      <c r="Y110" s="3"/>
      <c r="Z110" s="3"/>
      <c r="AA110" s="3"/>
      <c r="AB110" s="3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</row>
    <row r="111" spans="1:48" x14ac:dyDescent="0.3">
      <c r="A111" s="5">
        <v>45980</v>
      </c>
      <c r="B111" s="3">
        <v>1095</v>
      </c>
      <c r="C111" s="4" t="s">
        <v>30</v>
      </c>
      <c r="D111" s="3"/>
      <c r="E111" s="3"/>
      <c r="F111" s="3"/>
      <c r="G111" s="3"/>
      <c r="H111" s="3"/>
      <c r="I111" s="3"/>
      <c r="J111" s="3"/>
      <c r="K111" s="3">
        <v>-1</v>
      </c>
      <c r="L111" s="3"/>
      <c r="M111" s="15"/>
      <c r="N111" s="3"/>
      <c r="O111" s="15"/>
      <c r="P111" s="3"/>
      <c r="Q111" s="15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</row>
    <row r="112" spans="1:48" x14ac:dyDescent="0.3">
      <c r="A112" s="5">
        <v>45980</v>
      </c>
      <c r="B112" s="3">
        <v>1096</v>
      </c>
      <c r="C112" s="12" t="s">
        <v>79</v>
      </c>
      <c r="D112" s="3"/>
      <c r="E112" s="3"/>
      <c r="F112" s="3"/>
      <c r="G112" s="3"/>
      <c r="H112" s="3"/>
      <c r="I112" s="3">
        <v>-1</v>
      </c>
      <c r="J112" s="3"/>
      <c r="K112" s="3"/>
      <c r="L112" s="3"/>
      <c r="M112" s="15"/>
      <c r="N112" s="3"/>
      <c r="O112" s="15"/>
      <c r="P112" s="3"/>
      <c r="Q112" s="15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</row>
    <row r="113" spans="1:48" x14ac:dyDescent="0.3">
      <c r="A113" s="5">
        <v>45980</v>
      </c>
      <c r="B113" s="3">
        <v>1097</v>
      </c>
      <c r="C113" s="4" t="s">
        <v>58</v>
      </c>
      <c r="D113" s="3"/>
      <c r="E113" s="3"/>
      <c r="F113" s="3"/>
      <c r="G113" s="3"/>
      <c r="H113" s="3"/>
      <c r="I113" s="3"/>
      <c r="J113" s="3"/>
      <c r="K113" s="3"/>
      <c r="L113" s="3"/>
      <c r="M113" s="15"/>
      <c r="N113" s="3"/>
      <c r="O113" s="15"/>
      <c r="P113" s="3"/>
      <c r="Q113" s="15"/>
      <c r="R113" s="3"/>
      <c r="S113" s="3"/>
      <c r="T113" s="3"/>
      <c r="U113" s="3"/>
      <c r="V113" s="3">
        <v>-16</v>
      </c>
      <c r="W113" s="3"/>
      <c r="X113" s="3"/>
      <c r="Y113" s="3"/>
      <c r="Z113" s="3"/>
      <c r="AA113" s="3"/>
      <c r="AB113" s="3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</row>
    <row r="114" spans="1:48" x14ac:dyDescent="0.3">
      <c r="A114" s="5">
        <v>45981</v>
      </c>
      <c r="B114" s="3">
        <v>1098</v>
      </c>
      <c r="C114" s="4" t="s">
        <v>48</v>
      </c>
      <c r="D114" s="3"/>
      <c r="E114" s="3"/>
      <c r="F114" s="3"/>
      <c r="G114" s="3">
        <v>-125</v>
      </c>
      <c r="H114" s="3"/>
      <c r="I114" s="3"/>
      <c r="J114" s="3"/>
      <c r="K114" s="3"/>
      <c r="L114" s="3"/>
      <c r="M114" s="15"/>
      <c r="N114" s="3"/>
      <c r="O114" s="15"/>
      <c r="P114" s="3"/>
      <c r="Q114" s="15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</row>
    <row r="115" spans="1:48" x14ac:dyDescent="0.3">
      <c r="A115" s="5">
        <v>45981</v>
      </c>
      <c r="B115" s="3">
        <v>1099</v>
      </c>
      <c r="C115" s="4" t="s">
        <v>80</v>
      </c>
      <c r="D115" s="3"/>
      <c r="E115" s="3"/>
      <c r="F115" s="3"/>
      <c r="G115" s="3"/>
      <c r="H115" s="3">
        <v>-100</v>
      </c>
      <c r="I115" s="3"/>
      <c r="J115" s="3"/>
      <c r="K115" s="3"/>
      <c r="L115" s="3"/>
      <c r="M115" s="15"/>
      <c r="N115" s="3"/>
      <c r="O115" s="15"/>
      <c r="P115" s="3"/>
      <c r="Q115" s="15"/>
      <c r="R115" s="3"/>
      <c r="S115" s="3"/>
      <c r="T115" s="3"/>
      <c r="U115" s="3"/>
      <c r="V115" s="3"/>
      <c r="W115" s="3"/>
      <c r="X115" s="3"/>
      <c r="Y115" s="3"/>
      <c r="Z115" s="3">
        <v>-90</v>
      </c>
      <c r="AA115" s="3">
        <v>-80</v>
      </c>
      <c r="AB115" s="3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</row>
    <row r="116" spans="1:48" x14ac:dyDescent="0.3">
      <c r="A116" s="5">
        <v>45981</v>
      </c>
      <c r="B116" s="3">
        <v>1100</v>
      </c>
      <c r="C116" s="4" t="s">
        <v>19</v>
      </c>
      <c r="D116" s="3"/>
      <c r="E116" s="3"/>
      <c r="F116" s="3"/>
      <c r="G116" s="3"/>
      <c r="H116" s="3"/>
      <c r="I116" s="3"/>
      <c r="J116" s="3"/>
      <c r="K116" s="3"/>
      <c r="L116" s="3"/>
      <c r="M116" s="15"/>
      <c r="N116" s="3"/>
      <c r="O116" s="15"/>
      <c r="P116" s="3"/>
      <c r="Q116" s="15"/>
      <c r="R116" s="3"/>
      <c r="S116" s="3"/>
      <c r="T116" s="3"/>
      <c r="U116" s="3"/>
      <c r="V116" s="3"/>
      <c r="W116" s="3"/>
      <c r="X116" s="3">
        <v>-50</v>
      </c>
      <c r="Y116" s="3"/>
      <c r="Z116" s="3"/>
      <c r="AA116" s="3"/>
      <c r="AB116" s="3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</row>
    <row r="117" spans="1:48" x14ac:dyDescent="0.3">
      <c r="A117" s="5">
        <v>45981</v>
      </c>
      <c r="B117" s="3">
        <v>1101</v>
      </c>
      <c r="C117" s="4" t="s">
        <v>17</v>
      </c>
      <c r="D117" s="3"/>
      <c r="E117" s="3"/>
      <c r="F117" s="3"/>
      <c r="G117" s="3"/>
      <c r="H117" s="3">
        <v>-50</v>
      </c>
      <c r="I117" s="3"/>
      <c r="J117" s="3"/>
      <c r="K117" s="3">
        <v>-50</v>
      </c>
      <c r="L117" s="3"/>
      <c r="M117" s="15"/>
      <c r="N117" s="3"/>
      <c r="O117" s="15"/>
      <c r="P117" s="3"/>
      <c r="Q117" s="15"/>
      <c r="R117" s="3"/>
      <c r="S117" s="3"/>
      <c r="T117" s="3"/>
      <c r="U117" s="3"/>
      <c r="V117" s="3">
        <v>-50</v>
      </c>
      <c r="W117" s="3"/>
      <c r="X117" s="3"/>
      <c r="Y117" s="3"/>
      <c r="Z117" s="3"/>
      <c r="AA117" s="3"/>
      <c r="AB117" s="3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</row>
    <row r="118" spans="1:48" x14ac:dyDescent="0.3">
      <c r="A118" s="5">
        <v>45981</v>
      </c>
      <c r="B118" s="3">
        <v>1102</v>
      </c>
      <c r="C118" s="12" t="s">
        <v>81</v>
      </c>
      <c r="D118" s="3"/>
      <c r="E118" s="3"/>
      <c r="F118" s="3"/>
      <c r="G118" s="3"/>
      <c r="H118" s="3">
        <v>-200</v>
      </c>
      <c r="I118" s="3"/>
      <c r="J118" s="3"/>
      <c r="K118" s="3"/>
      <c r="L118" s="3"/>
      <c r="M118" s="15"/>
      <c r="N118" s="3"/>
      <c r="O118" s="15"/>
      <c r="P118" s="3"/>
      <c r="Q118" s="15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</row>
    <row r="119" spans="1:48" x14ac:dyDescent="0.3">
      <c r="A119" s="5">
        <v>45981</v>
      </c>
      <c r="B119" s="3">
        <v>1103</v>
      </c>
      <c r="C119" s="4" t="s">
        <v>40</v>
      </c>
      <c r="D119" s="3"/>
      <c r="E119" s="3"/>
      <c r="F119" s="3"/>
      <c r="G119" s="3">
        <v>-30</v>
      </c>
      <c r="H119" s="3">
        <v>-100</v>
      </c>
      <c r="I119" s="3"/>
      <c r="J119" s="3"/>
      <c r="K119" s="3"/>
      <c r="L119" s="3"/>
      <c r="M119" s="15"/>
      <c r="N119" s="3"/>
      <c r="O119" s="15"/>
      <c r="P119" s="3"/>
      <c r="Q119" s="15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</row>
    <row r="120" spans="1:48" x14ac:dyDescent="0.3">
      <c r="A120" s="5">
        <v>45981</v>
      </c>
      <c r="B120" s="3">
        <v>1104</v>
      </c>
      <c r="C120" s="4" t="s">
        <v>59</v>
      </c>
      <c r="D120" s="3"/>
      <c r="E120" s="3"/>
      <c r="F120" s="3"/>
      <c r="G120" s="3">
        <v>-30</v>
      </c>
      <c r="H120" s="3"/>
      <c r="I120" s="3"/>
      <c r="J120" s="3"/>
      <c r="K120" s="3"/>
      <c r="L120" s="3"/>
      <c r="M120" s="15"/>
      <c r="N120" s="3"/>
      <c r="O120" s="15"/>
      <c r="P120" s="3"/>
      <c r="Q120" s="15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</row>
    <row r="121" spans="1:48" x14ac:dyDescent="0.3">
      <c r="A121" s="5">
        <v>45981</v>
      </c>
      <c r="B121" s="3">
        <v>1105</v>
      </c>
      <c r="C121" s="4" t="s">
        <v>18</v>
      </c>
      <c r="D121" s="3"/>
      <c r="E121" s="3"/>
      <c r="F121" s="3"/>
      <c r="G121" s="3"/>
      <c r="H121" s="3">
        <v>-10</v>
      </c>
      <c r="I121" s="3"/>
      <c r="J121" s="3"/>
      <c r="K121" s="3"/>
      <c r="L121" s="3"/>
      <c r="M121" s="15"/>
      <c r="N121" s="3"/>
      <c r="O121" s="15"/>
      <c r="P121" s="3"/>
      <c r="Q121" s="15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</row>
    <row r="122" spans="1:48" x14ac:dyDescent="0.3">
      <c r="A122" s="5">
        <v>45981</v>
      </c>
      <c r="B122" s="3">
        <v>1106</v>
      </c>
      <c r="C122" s="4" t="s">
        <v>60</v>
      </c>
      <c r="D122" s="3"/>
      <c r="E122" s="3"/>
      <c r="F122" s="3"/>
      <c r="G122" s="3"/>
      <c r="H122" s="3">
        <v>-10</v>
      </c>
      <c r="I122" s="3"/>
      <c r="J122" s="3"/>
      <c r="K122" s="3"/>
      <c r="L122" s="3"/>
      <c r="M122" s="15"/>
      <c r="N122" s="3"/>
      <c r="O122" s="15"/>
      <c r="P122" s="3"/>
      <c r="Q122" s="15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</row>
    <row r="123" spans="1:48" x14ac:dyDescent="0.3">
      <c r="A123" s="5">
        <v>45981</v>
      </c>
      <c r="B123" s="3">
        <v>1107</v>
      </c>
      <c r="C123" s="4" t="s">
        <v>13</v>
      </c>
      <c r="D123" s="3"/>
      <c r="E123" s="3"/>
      <c r="F123" s="3"/>
      <c r="G123" s="3"/>
      <c r="H123" s="3"/>
      <c r="I123" s="3"/>
      <c r="J123" s="3"/>
      <c r="K123" s="3"/>
      <c r="L123" s="3"/>
      <c r="M123" s="15"/>
      <c r="N123" s="3"/>
      <c r="O123" s="15"/>
      <c r="P123" s="3"/>
      <c r="Q123" s="15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-50</v>
      </c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</row>
    <row r="124" spans="1:48" x14ac:dyDescent="0.3">
      <c r="A124" s="5">
        <v>45983</v>
      </c>
      <c r="B124" s="3">
        <v>1108</v>
      </c>
      <c r="C124" s="4" t="s">
        <v>54</v>
      </c>
      <c r="D124" s="3"/>
      <c r="E124" s="3"/>
      <c r="F124" s="3"/>
      <c r="G124" s="3">
        <v>-50</v>
      </c>
      <c r="H124" s="3">
        <v>-50</v>
      </c>
      <c r="I124" s="3">
        <v>-50</v>
      </c>
      <c r="J124" s="3"/>
      <c r="K124" s="3">
        <v>-5</v>
      </c>
      <c r="L124" s="3"/>
      <c r="M124" s="15"/>
      <c r="N124" s="3"/>
      <c r="O124" s="15"/>
      <c r="P124" s="3"/>
      <c r="Q124" s="15">
        <v>-10</v>
      </c>
      <c r="R124" s="3">
        <v>-319.72000000000003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</row>
    <row r="125" spans="1:48" x14ac:dyDescent="0.3">
      <c r="A125" s="31">
        <v>45983</v>
      </c>
      <c r="B125" s="21">
        <v>1111</v>
      </c>
      <c r="C125" s="32" t="s">
        <v>54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>
        <v>100</v>
      </c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37"/>
      <c r="AT125" s="40"/>
      <c r="AU125" s="40"/>
      <c r="AV125" s="40"/>
    </row>
    <row r="126" spans="1:48" x14ac:dyDescent="0.3">
      <c r="A126" s="5">
        <v>45983</v>
      </c>
      <c r="B126" s="3">
        <v>1109</v>
      </c>
      <c r="C126" s="4" t="s">
        <v>83</v>
      </c>
      <c r="D126" s="3"/>
      <c r="E126" s="3"/>
      <c r="F126" s="3"/>
      <c r="G126" s="3">
        <v>-50</v>
      </c>
      <c r="H126" s="3"/>
      <c r="I126" s="3"/>
      <c r="J126" s="3"/>
      <c r="K126" s="3"/>
      <c r="L126" s="3"/>
      <c r="M126" s="15"/>
      <c r="N126" s="3"/>
      <c r="O126" s="15"/>
      <c r="P126" s="3"/>
      <c r="Q126" s="15"/>
      <c r="R126" s="3"/>
      <c r="S126" s="3"/>
      <c r="T126" s="3"/>
      <c r="U126" s="3"/>
      <c r="V126" s="3"/>
      <c r="W126" s="3">
        <v>-10</v>
      </c>
      <c r="X126" s="3"/>
      <c r="Y126" s="3"/>
      <c r="Z126" s="3"/>
      <c r="AA126" s="3"/>
      <c r="AB126" s="3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</row>
    <row r="127" spans="1:48" x14ac:dyDescent="0.3">
      <c r="A127" s="5">
        <v>45983</v>
      </c>
      <c r="B127" s="3">
        <v>1110</v>
      </c>
      <c r="C127" s="4" t="s">
        <v>69</v>
      </c>
      <c r="D127" s="3"/>
      <c r="E127" s="3"/>
      <c r="F127" s="3"/>
      <c r="G127" s="3"/>
      <c r="H127" s="3"/>
      <c r="I127" s="3"/>
      <c r="J127" s="3"/>
      <c r="K127" s="3"/>
      <c r="L127" s="3"/>
      <c r="M127" s="15"/>
      <c r="N127" s="3"/>
      <c r="O127" s="15"/>
      <c r="P127" s="3"/>
      <c r="Q127" s="15">
        <v>-10</v>
      </c>
      <c r="R127" s="3">
        <v>-212.29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</row>
    <row r="128" spans="1:48" x14ac:dyDescent="0.3">
      <c r="A128" s="5">
        <v>45984</v>
      </c>
      <c r="B128" s="3">
        <v>1112</v>
      </c>
      <c r="C128" s="4" t="s">
        <v>13</v>
      </c>
      <c r="D128" s="3"/>
      <c r="E128" s="3"/>
      <c r="F128" s="3"/>
      <c r="G128" s="3"/>
      <c r="H128" s="3"/>
      <c r="I128" s="3"/>
      <c r="J128" s="3"/>
      <c r="K128" s="3"/>
      <c r="L128" s="3"/>
      <c r="M128" s="15"/>
      <c r="N128" s="3"/>
      <c r="O128" s="15"/>
      <c r="P128" s="3"/>
      <c r="Q128" s="15"/>
      <c r="R128" s="3"/>
      <c r="S128" s="3"/>
      <c r="T128" s="3"/>
      <c r="U128" s="3"/>
      <c r="V128" s="3"/>
      <c r="W128" s="3"/>
      <c r="X128" s="3"/>
      <c r="Y128" s="3">
        <v>-25</v>
      </c>
      <c r="Z128" s="3"/>
      <c r="AA128" s="3"/>
      <c r="AB128" s="3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</row>
    <row r="129" spans="1:48" x14ac:dyDescent="0.3">
      <c r="A129" s="5">
        <v>45985</v>
      </c>
      <c r="B129" s="3">
        <v>1113</v>
      </c>
      <c r="C129" s="4" t="s">
        <v>85</v>
      </c>
      <c r="D129" s="3"/>
      <c r="E129" s="3"/>
      <c r="F129" s="3"/>
      <c r="G129" s="3"/>
      <c r="H129" s="3"/>
      <c r="I129" s="3"/>
      <c r="J129" s="3"/>
      <c r="K129" s="3"/>
      <c r="L129" s="3"/>
      <c r="M129" s="15"/>
      <c r="N129" s="3"/>
      <c r="O129" s="15">
        <v>-51</v>
      </c>
      <c r="P129" s="3">
        <v>-1032.54</v>
      </c>
      <c r="Q129" s="15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</row>
    <row r="130" spans="1:48" x14ac:dyDescent="0.3">
      <c r="A130" s="5">
        <v>45985</v>
      </c>
      <c r="B130" s="3">
        <v>1114</v>
      </c>
      <c r="C130" s="12" t="s">
        <v>73</v>
      </c>
      <c r="D130" s="3"/>
      <c r="E130" s="3"/>
      <c r="F130" s="3"/>
      <c r="G130" s="3">
        <v>-200</v>
      </c>
      <c r="H130" s="3"/>
      <c r="I130" s="3">
        <v>-300</v>
      </c>
      <c r="J130" s="3"/>
      <c r="K130" s="3"/>
      <c r="L130" s="3"/>
      <c r="M130" s="15"/>
      <c r="N130" s="3"/>
      <c r="O130" s="15"/>
      <c r="P130" s="3"/>
      <c r="Q130" s="15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</row>
    <row r="131" spans="1:48" x14ac:dyDescent="0.3">
      <c r="A131" s="5">
        <v>45985</v>
      </c>
      <c r="B131" s="3">
        <v>1115</v>
      </c>
      <c r="C131" s="12" t="s">
        <v>81</v>
      </c>
      <c r="D131" s="3"/>
      <c r="E131" s="3"/>
      <c r="F131" s="3"/>
      <c r="G131" s="3"/>
      <c r="H131" s="3">
        <v>-20</v>
      </c>
      <c r="I131" s="3">
        <v>-20</v>
      </c>
      <c r="J131" s="3"/>
      <c r="K131" s="3"/>
      <c r="L131" s="3"/>
      <c r="M131" s="15"/>
      <c r="N131" s="3"/>
      <c r="O131" s="15"/>
      <c r="P131" s="3"/>
      <c r="Q131" s="15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</row>
    <row r="132" spans="1:48" x14ac:dyDescent="0.3">
      <c r="A132" s="5">
        <v>45985</v>
      </c>
      <c r="B132" s="3">
        <v>1116</v>
      </c>
      <c r="C132" s="4" t="s">
        <v>60</v>
      </c>
      <c r="D132" s="3"/>
      <c r="E132" s="3"/>
      <c r="F132" s="3"/>
      <c r="G132" s="3"/>
      <c r="H132" s="3"/>
      <c r="I132" s="3"/>
      <c r="J132" s="3"/>
      <c r="K132" s="3"/>
      <c r="L132" s="3"/>
      <c r="M132" s="15"/>
      <c r="N132" s="3"/>
      <c r="O132" s="15"/>
      <c r="P132" s="3"/>
      <c r="Q132" s="15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7">
        <v>-5</v>
      </c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</row>
    <row r="133" spans="1:48" x14ac:dyDescent="0.3">
      <c r="A133" s="30">
        <v>45983</v>
      </c>
      <c r="B133" s="25" t="s">
        <v>62</v>
      </c>
      <c r="C133" s="17" t="s">
        <v>87</v>
      </c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39">
        <v>5</v>
      </c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7"/>
      <c r="AT133" s="39"/>
      <c r="AU133" s="39"/>
      <c r="AV133" s="39"/>
    </row>
    <row r="134" spans="1:48" x14ac:dyDescent="0.3">
      <c r="A134" s="5">
        <v>45985</v>
      </c>
      <c r="B134" s="3">
        <v>1117</v>
      </c>
      <c r="C134" s="4" t="s">
        <v>59</v>
      </c>
      <c r="D134" s="3"/>
      <c r="E134" s="3"/>
      <c r="F134" s="3"/>
      <c r="G134" s="3">
        <v>-50</v>
      </c>
      <c r="H134" s="3"/>
      <c r="I134" s="3"/>
      <c r="J134" s="3"/>
      <c r="K134" s="3"/>
      <c r="L134" s="3"/>
      <c r="M134" s="15"/>
      <c r="N134" s="3"/>
      <c r="O134" s="15"/>
      <c r="P134" s="3"/>
      <c r="Q134" s="15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</row>
    <row r="135" spans="1:48" x14ac:dyDescent="0.3">
      <c r="A135" s="5">
        <v>45985</v>
      </c>
      <c r="B135" s="3">
        <v>1118</v>
      </c>
      <c r="C135" s="12" t="s">
        <v>88</v>
      </c>
      <c r="D135" s="3"/>
      <c r="E135" s="3"/>
      <c r="F135" s="3"/>
      <c r="G135" s="3"/>
      <c r="H135" s="3"/>
      <c r="I135" s="3"/>
      <c r="J135" s="3"/>
      <c r="K135" s="3"/>
      <c r="L135" s="3"/>
      <c r="M135" s="15"/>
      <c r="N135" s="3"/>
      <c r="O135" s="15"/>
      <c r="P135" s="3"/>
      <c r="Q135" s="15"/>
      <c r="R135" s="3"/>
      <c r="S135" s="3"/>
      <c r="T135" s="3"/>
      <c r="U135" s="3"/>
      <c r="V135" s="3"/>
      <c r="W135" s="3"/>
      <c r="X135" s="3">
        <v>-14</v>
      </c>
      <c r="Y135" s="3"/>
      <c r="Z135" s="3"/>
      <c r="AA135" s="3"/>
      <c r="AB135" s="3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</row>
    <row r="136" spans="1:48" x14ac:dyDescent="0.3">
      <c r="A136" s="5">
        <v>45985</v>
      </c>
      <c r="B136" s="3">
        <v>1119</v>
      </c>
      <c r="C136" s="4" t="s">
        <v>89</v>
      </c>
      <c r="D136" s="3"/>
      <c r="E136" s="3"/>
      <c r="F136" s="3"/>
      <c r="G136" s="3">
        <v>-20</v>
      </c>
      <c r="H136" s="3"/>
      <c r="I136" s="3"/>
      <c r="J136" s="3"/>
      <c r="K136" s="3"/>
      <c r="L136" s="3"/>
      <c r="M136" s="15"/>
      <c r="N136" s="3"/>
      <c r="O136" s="15"/>
      <c r="P136" s="3"/>
      <c r="Q136" s="15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</row>
    <row r="137" spans="1:48" x14ac:dyDescent="0.3">
      <c r="A137" s="5">
        <v>45986</v>
      </c>
      <c r="B137" s="3">
        <v>1120</v>
      </c>
      <c r="C137" s="4" t="s">
        <v>39</v>
      </c>
      <c r="D137" s="3"/>
      <c r="E137" s="3"/>
      <c r="F137" s="3"/>
      <c r="G137" s="3"/>
      <c r="H137" s="3"/>
      <c r="I137" s="3"/>
      <c r="J137" s="3"/>
      <c r="K137" s="3"/>
      <c r="L137" s="3"/>
      <c r="M137" s="15"/>
      <c r="N137" s="3"/>
      <c r="O137" s="15">
        <v>-10</v>
      </c>
      <c r="P137" s="3">
        <v>-213.36</v>
      </c>
      <c r="Q137" s="15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</row>
    <row r="138" spans="1:48" x14ac:dyDescent="0.3">
      <c r="A138" s="5">
        <v>45986</v>
      </c>
      <c r="B138" s="3">
        <v>1121</v>
      </c>
      <c r="C138" s="4" t="s">
        <v>40</v>
      </c>
      <c r="D138" s="3"/>
      <c r="E138" s="3"/>
      <c r="F138" s="3"/>
      <c r="G138" s="3"/>
      <c r="H138" s="3"/>
      <c r="I138" s="3"/>
      <c r="J138" s="3"/>
      <c r="K138" s="3"/>
      <c r="L138" s="3"/>
      <c r="M138" s="15"/>
      <c r="N138" s="3"/>
      <c r="O138" s="15"/>
      <c r="P138" s="3"/>
      <c r="Q138" s="15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-100</v>
      </c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</row>
    <row r="139" spans="1:48" x14ac:dyDescent="0.3">
      <c r="A139" s="5">
        <v>45986</v>
      </c>
      <c r="B139" s="3">
        <v>1122</v>
      </c>
      <c r="C139" s="4" t="s">
        <v>48</v>
      </c>
      <c r="D139" s="3"/>
      <c r="E139" s="3"/>
      <c r="F139" s="3"/>
      <c r="G139" s="3"/>
      <c r="H139" s="3">
        <v>-30</v>
      </c>
      <c r="I139" s="3"/>
      <c r="J139" s="3"/>
      <c r="K139" s="3"/>
      <c r="L139" s="3"/>
      <c r="M139" s="15"/>
      <c r="N139" s="3"/>
      <c r="O139" s="15"/>
      <c r="P139" s="3"/>
      <c r="Q139" s="15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</row>
    <row r="140" spans="1:48" x14ac:dyDescent="0.3">
      <c r="A140" s="5">
        <v>45986</v>
      </c>
      <c r="B140" s="3">
        <v>1123</v>
      </c>
      <c r="C140" s="4" t="s">
        <v>69</v>
      </c>
      <c r="D140" s="3"/>
      <c r="E140" s="3"/>
      <c r="F140" s="3"/>
      <c r="G140" s="3"/>
      <c r="H140" s="3"/>
      <c r="I140" s="3"/>
      <c r="J140" s="3"/>
      <c r="K140" s="3">
        <v>-50</v>
      </c>
      <c r="L140" s="3"/>
      <c r="M140" s="15"/>
      <c r="N140" s="3"/>
      <c r="O140" s="15"/>
      <c r="P140" s="3"/>
      <c r="Q140" s="15"/>
      <c r="R140" s="3"/>
      <c r="S140" s="3"/>
      <c r="T140" s="3"/>
      <c r="U140" s="3"/>
      <c r="V140" s="3"/>
      <c r="W140" s="3">
        <v>-20</v>
      </c>
      <c r="X140" s="3"/>
      <c r="Y140" s="3"/>
      <c r="Z140" s="3"/>
      <c r="AA140" s="3"/>
      <c r="AB140" s="3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</row>
    <row r="141" spans="1:48" x14ac:dyDescent="0.3">
      <c r="A141" s="5">
        <v>45988</v>
      </c>
      <c r="B141" s="3">
        <v>1124</v>
      </c>
      <c r="C141" s="12" t="s">
        <v>93</v>
      </c>
      <c r="D141" s="3"/>
      <c r="E141" s="3"/>
      <c r="F141" s="3"/>
      <c r="G141" s="3"/>
      <c r="H141" s="3"/>
      <c r="I141" s="3"/>
      <c r="J141" s="3"/>
      <c r="K141" s="3"/>
      <c r="L141" s="3"/>
      <c r="M141" s="15"/>
      <c r="N141" s="3"/>
      <c r="O141" s="15"/>
      <c r="P141" s="3"/>
      <c r="Q141" s="15">
        <v>-10</v>
      </c>
      <c r="R141" s="3">
        <v>-235.62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</row>
    <row r="142" spans="1:48" x14ac:dyDescent="0.3">
      <c r="A142" s="5">
        <v>45988</v>
      </c>
      <c r="B142" s="3">
        <v>1125</v>
      </c>
      <c r="C142" s="12" t="s">
        <v>93</v>
      </c>
      <c r="D142" s="3"/>
      <c r="E142" s="3"/>
      <c r="F142" s="3"/>
      <c r="G142" s="3"/>
      <c r="H142" s="3"/>
      <c r="I142" s="3"/>
      <c r="J142" s="3"/>
      <c r="K142" s="3"/>
      <c r="L142" s="3"/>
      <c r="M142" s="15"/>
      <c r="N142" s="3"/>
      <c r="O142" s="15"/>
      <c r="P142" s="3"/>
      <c r="Q142" s="15">
        <v>-10</v>
      </c>
      <c r="R142" s="3">
        <v>-216.37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</row>
    <row r="143" spans="1:48" x14ac:dyDescent="0.3">
      <c r="A143" s="5">
        <v>45988</v>
      </c>
      <c r="B143" s="3">
        <v>1126</v>
      </c>
      <c r="C143" s="12" t="s">
        <v>94</v>
      </c>
      <c r="D143" s="3"/>
      <c r="E143" s="3"/>
      <c r="F143" s="3"/>
      <c r="G143" s="3"/>
      <c r="H143" s="3"/>
      <c r="I143" s="3"/>
      <c r="J143" s="3"/>
      <c r="K143" s="3"/>
      <c r="L143" s="3"/>
      <c r="M143" s="15"/>
      <c r="N143" s="3"/>
      <c r="O143" s="15"/>
      <c r="P143" s="3"/>
      <c r="Q143" s="15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7"/>
      <c r="AD143" s="37">
        <v>-10</v>
      </c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</row>
    <row r="144" spans="1:48" x14ac:dyDescent="0.3">
      <c r="A144" s="30">
        <v>45988</v>
      </c>
      <c r="B144" s="25" t="s">
        <v>62</v>
      </c>
      <c r="C144" s="17" t="s">
        <v>96</v>
      </c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39"/>
      <c r="AD144" s="39">
        <v>10</v>
      </c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7"/>
      <c r="AT144" s="39"/>
      <c r="AU144" s="39"/>
      <c r="AV144" s="39"/>
    </row>
    <row r="145" spans="1:48" x14ac:dyDescent="0.3">
      <c r="A145" s="5">
        <v>45988</v>
      </c>
      <c r="B145" s="3">
        <v>1127</v>
      </c>
      <c r="C145" s="4" t="s">
        <v>60</v>
      </c>
      <c r="D145" s="3"/>
      <c r="E145" s="3"/>
      <c r="F145" s="3"/>
      <c r="G145" s="3"/>
      <c r="H145" s="3">
        <v>-10</v>
      </c>
      <c r="I145" s="3"/>
      <c r="J145" s="3"/>
      <c r="K145" s="3"/>
      <c r="L145" s="3"/>
      <c r="M145" s="15"/>
      <c r="N145" s="3"/>
      <c r="O145" s="15"/>
      <c r="P145" s="3"/>
      <c r="Q145" s="15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</row>
    <row r="146" spans="1:48" x14ac:dyDescent="0.3">
      <c r="A146" s="5">
        <v>45988</v>
      </c>
      <c r="B146" s="3">
        <v>1128</v>
      </c>
      <c r="C146" s="4" t="s">
        <v>19</v>
      </c>
      <c r="D146" s="3"/>
      <c r="E146" s="3"/>
      <c r="F146" s="3"/>
      <c r="G146" s="3">
        <v>-50</v>
      </c>
      <c r="H146" s="3"/>
      <c r="I146" s="3"/>
      <c r="J146" s="3"/>
      <c r="K146" s="3"/>
      <c r="L146" s="3"/>
      <c r="M146" s="15"/>
      <c r="N146" s="3"/>
      <c r="O146" s="15"/>
      <c r="P146" s="3"/>
      <c r="Q146" s="15"/>
      <c r="R146" s="3"/>
      <c r="S146" s="3"/>
      <c r="T146" s="3"/>
      <c r="U146" s="3"/>
      <c r="V146" s="3"/>
      <c r="W146" s="3"/>
      <c r="X146" s="3">
        <v>-50</v>
      </c>
      <c r="Y146" s="3"/>
      <c r="Z146" s="3"/>
      <c r="AA146" s="3"/>
      <c r="AB146" s="3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</row>
    <row r="147" spans="1:48" x14ac:dyDescent="0.3">
      <c r="A147" s="5">
        <v>45988</v>
      </c>
      <c r="B147" s="3">
        <v>1129</v>
      </c>
      <c r="C147" s="4" t="s">
        <v>48</v>
      </c>
      <c r="D147" s="3"/>
      <c r="E147" s="3"/>
      <c r="F147" s="3"/>
      <c r="G147" s="3">
        <v>-60</v>
      </c>
      <c r="H147" s="3"/>
      <c r="I147" s="3"/>
      <c r="J147" s="3"/>
      <c r="K147" s="3"/>
      <c r="L147" s="3"/>
      <c r="M147" s="15"/>
      <c r="N147" s="3"/>
      <c r="O147" s="15"/>
      <c r="P147" s="3"/>
      <c r="Q147" s="15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</row>
    <row r="148" spans="1:48" x14ac:dyDescent="0.3">
      <c r="A148" s="30">
        <v>45986</v>
      </c>
      <c r="B148" s="25" t="s">
        <v>62</v>
      </c>
      <c r="C148" s="17" t="s">
        <v>87</v>
      </c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39"/>
      <c r="AD148" s="39"/>
      <c r="AE148" s="39">
        <v>1500</v>
      </c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7"/>
      <c r="AT148" s="39"/>
      <c r="AU148" s="39"/>
      <c r="AV148" s="39"/>
    </row>
    <row r="149" spans="1:48" x14ac:dyDescent="0.3">
      <c r="A149" s="5">
        <v>45988</v>
      </c>
      <c r="B149" s="3">
        <v>1130</v>
      </c>
      <c r="C149" s="4" t="s">
        <v>13</v>
      </c>
      <c r="D149" s="3"/>
      <c r="E149" s="3"/>
      <c r="F149" s="3"/>
      <c r="G149" s="3"/>
      <c r="H149" s="3"/>
      <c r="I149" s="3"/>
      <c r="J149" s="3"/>
      <c r="K149" s="3"/>
      <c r="L149" s="3"/>
      <c r="M149" s="15"/>
      <c r="N149" s="3"/>
      <c r="O149" s="15"/>
      <c r="P149" s="3"/>
      <c r="Q149" s="15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-50</v>
      </c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</row>
    <row r="150" spans="1:48" x14ac:dyDescent="0.3">
      <c r="A150" s="5">
        <v>45990</v>
      </c>
      <c r="B150" s="3">
        <v>1131</v>
      </c>
      <c r="C150" s="12" t="s">
        <v>88</v>
      </c>
      <c r="D150" s="3"/>
      <c r="E150" s="3"/>
      <c r="F150" s="3"/>
      <c r="G150" s="3"/>
      <c r="H150" s="3"/>
      <c r="I150" s="3">
        <v>-3</v>
      </c>
      <c r="J150" s="3"/>
      <c r="K150" s="3"/>
      <c r="L150" s="3"/>
      <c r="M150" s="15"/>
      <c r="N150" s="3"/>
      <c r="O150" s="15"/>
      <c r="P150" s="3"/>
      <c r="Q150" s="15"/>
      <c r="R150" s="3"/>
      <c r="S150" s="3"/>
      <c r="T150" s="3"/>
      <c r="U150" s="3"/>
      <c r="V150" s="3"/>
      <c r="W150" s="3"/>
      <c r="X150" s="3">
        <v>-10</v>
      </c>
      <c r="Y150" s="3"/>
      <c r="Z150" s="3"/>
      <c r="AA150" s="3"/>
      <c r="AB150" s="3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</row>
    <row r="151" spans="1:48" x14ac:dyDescent="0.3">
      <c r="A151" s="5">
        <v>45990</v>
      </c>
      <c r="B151" s="3">
        <v>1132</v>
      </c>
      <c r="C151" s="12" t="s">
        <v>93</v>
      </c>
      <c r="D151" s="3"/>
      <c r="E151" s="3"/>
      <c r="F151" s="3"/>
      <c r="G151" s="3"/>
      <c r="H151" s="3"/>
      <c r="I151" s="3"/>
      <c r="J151" s="3"/>
      <c r="K151" s="3"/>
      <c r="L151" s="3"/>
      <c r="M151" s="15"/>
      <c r="N151" s="3"/>
      <c r="O151" s="15"/>
      <c r="P151" s="3"/>
      <c r="Q151" s="15">
        <v>-6</v>
      </c>
      <c r="R151" s="3">
        <v>-142.61000000000001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</row>
    <row r="152" spans="1:48" x14ac:dyDescent="0.3">
      <c r="A152" s="5">
        <v>45990</v>
      </c>
      <c r="B152" s="3">
        <v>1133</v>
      </c>
      <c r="C152" s="4" t="s">
        <v>13</v>
      </c>
      <c r="D152" s="3"/>
      <c r="E152" s="3"/>
      <c r="F152" s="3"/>
      <c r="G152" s="3"/>
      <c r="H152" s="3">
        <v>-30</v>
      </c>
      <c r="I152" s="3"/>
      <c r="J152" s="3"/>
      <c r="K152" s="3"/>
      <c r="L152" s="3"/>
      <c r="M152" s="15"/>
      <c r="N152" s="3"/>
      <c r="O152" s="15"/>
      <c r="P152" s="3"/>
      <c r="Q152" s="15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</row>
    <row r="153" spans="1:48" x14ac:dyDescent="0.3">
      <c r="A153" s="5">
        <v>45990</v>
      </c>
      <c r="B153" s="3">
        <v>1134</v>
      </c>
      <c r="C153" s="4" t="s">
        <v>58</v>
      </c>
      <c r="D153" s="3"/>
      <c r="E153" s="3"/>
      <c r="F153" s="3"/>
      <c r="G153" s="3"/>
      <c r="H153" s="3"/>
      <c r="I153" s="3"/>
      <c r="J153" s="3"/>
      <c r="K153" s="3"/>
      <c r="L153" s="3"/>
      <c r="M153" s="15"/>
      <c r="N153" s="3"/>
      <c r="O153" s="15"/>
      <c r="P153" s="3"/>
      <c r="Q153" s="15"/>
      <c r="R153" s="3"/>
      <c r="S153" s="3"/>
      <c r="T153" s="3"/>
      <c r="U153" s="3"/>
      <c r="V153" s="3"/>
      <c r="W153" s="3"/>
      <c r="X153" s="3"/>
      <c r="Y153" s="3">
        <v>-20</v>
      </c>
      <c r="Z153" s="3"/>
      <c r="AA153" s="3"/>
      <c r="AB153" s="3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</row>
    <row r="154" spans="1:48" x14ac:dyDescent="0.3">
      <c r="A154" s="5">
        <v>45990</v>
      </c>
      <c r="B154" s="3">
        <v>1135</v>
      </c>
      <c r="C154" s="4" t="s">
        <v>19</v>
      </c>
      <c r="D154" s="3"/>
      <c r="E154" s="3"/>
      <c r="F154" s="3"/>
      <c r="G154" s="3">
        <v>-100</v>
      </c>
      <c r="H154" s="3"/>
      <c r="I154" s="3"/>
      <c r="J154" s="3"/>
      <c r="K154" s="3"/>
      <c r="L154" s="3"/>
      <c r="M154" s="15"/>
      <c r="N154" s="3"/>
      <c r="O154" s="15"/>
      <c r="P154" s="3"/>
      <c r="Q154" s="15"/>
      <c r="R154" s="3"/>
      <c r="S154" s="3"/>
      <c r="T154" s="3"/>
      <c r="U154" s="3"/>
      <c r="V154" s="3"/>
      <c r="W154" s="3">
        <v>-10</v>
      </c>
      <c r="X154" s="3"/>
      <c r="Y154" s="3"/>
      <c r="Z154" s="3"/>
      <c r="AA154" s="3"/>
      <c r="AB154" s="3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</row>
    <row r="155" spans="1:48" x14ac:dyDescent="0.3">
      <c r="A155" s="5">
        <v>45991</v>
      </c>
      <c r="B155" s="3">
        <v>1136</v>
      </c>
      <c r="C155" s="12" t="s">
        <v>93</v>
      </c>
      <c r="D155" s="3"/>
      <c r="E155" s="3"/>
      <c r="F155" s="3"/>
      <c r="G155" s="3"/>
      <c r="H155" s="3"/>
      <c r="I155" s="3"/>
      <c r="J155" s="3"/>
      <c r="K155" s="3"/>
      <c r="L155" s="3"/>
      <c r="M155" s="15"/>
      <c r="N155" s="3"/>
      <c r="O155" s="15"/>
      <c r="P155" s="3"/>
      <c r="Q155" s="15">
        <v>-6</v>
      </c>
      <c r="R155" s="3">
        <v>-148.46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</row>
    <row r="156" spans="1:48" x14ac:dyDescent="0.3">
      <c r="A156" s="5">
        <v>45991</v>
      </c>
      <c r="B156" s="3">
        <v>1137</v>
      </c>
      <c r="C156" s="4" t="s">
        <v>60</v>
      </c>
      <c r="D156" s="3"/>
      <c r="E156" s="3"/>
      <c r="F156" s="3"/>
      <c r="G156" s="3"/>
      <c r="H156" s="3">
        <v>-5</v>
      </c>
      <c r="I156" s="3"/>
      <c r="J156" s="3"/>
      <c r="K156" s="3"/>
      <c r="L156" s="3"/>
      <c r="M156" s="15"/>
      <c r="N156" s="3"/>
      <c r="O156" s="15"/>
      <c r="P156" s="3"/>
      <c r="Q156" s="15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</row>
    <row r="157" spans="1:48" x14ac:dyDescent="0.3">
      <c r="A157" s="5">
        <v>45991</v>
      </c>
      <c r="B157" s="3">
        <v>1138</v>
      </c>
      <c r="C157" s="12" t="s">
        <v>98</v>
      </c>
      <c r="D157" s="3"/>
      <c r="E157" s="3"/>
      <c r="F157" s="3"/>
      <c r="G157" s="3"/>
      <c r="H157" s="3"/>
      <c r="I157" s="3"/>
      <c r="J157" s="3"/>
      <c r="K157" s="3"/>
      <c r="L157" s="3"/>
      <c r="M157" s="15"/>
      <c r="N157" s="3"/>
      <c r="O157" s="15"/>
      <c r="P157" s="3"/>
      <c r="Q157" s="15"/>
      <c r="R157" s="3"/>
      <c r="S157" s="3"/>
      <c r="T157" s="3"/>
      <c r="U157" s="3"/>
      <c r="V157" s="3"/>
      <c r="W157" s="3"/>
      <c r="X157" s="3"/>
      <c r="Y157" s="3">
        <v>-2</v>
      </c>
      <c r="Z157" s="3"/>
      <c r="AA157" s="3"/>
      <c r="AB157" s="3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</row>
    <row r="158" spans="1:48" x14ac:dyDescent="0.3">
      <c r="A158" s="5">
        <v>45991</v>
      </c>
      <c r="B158" s="3">
        <v>1139</v>
      </c>
      <c r="C158" s="4" t="s">
        <v>40</v>
      </c>
      <c r="D158" s="3"/>
      <c r="E158" s="3"/>
      <c r="F158" s="3"/>
      <c r="G158" s="3">
        <v>-30</v>
      </c>
      <c r="H158" s="3"/>
      <c r="I158" s="3"/>
      <c r="J158" s="3"/>
      <c r="K158" s="3"/>
      <c r="L158" s="3"/>
      <c r="M158" s="15"/>
      <c r="N158" s="3"/>
      <c r="O158" s="15"/>
      <c r="P158" s="3"/>
      <c r="Q158" s="15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-100</v>
      </c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</row>
    <row r="159" spans="1:48" x14ac:dyDescent="0.3">
      <c r="A159" s="5">
        <v>45991</v>
      </c>
      <c r="B159" s="3">
        <v>1140</v>
      </c>
      <c r="C159" s="4" t="s">
        <v>72</v>
      </c>
      <c r="D159" s="3"/>
      <c r="E159" s="3"/>
      <c r="F159" s="3"/>
      <c r="G159" s="3"/>
      <c r="H159" s="3"/>
      <c r="I159" s="3"/>
      <c r="J159" s="3"/>
      <c r="K159" s="3"/>
      <c r="L159" s="3"/>
      <c r="M159" s="15"/>
      <c r="N159" s="3"/>
      <c r="O159" s="15"/>
      <c r="P159" s="3"/>
      <c r="Q159" s="15"/>
      <c r="R159" s="3"/>
      <c r="S159" s="3"/>
      <c r="T159" s="3"/>
      <c r="U159" s="3"/>
      <c r="V159" s="3"/>
      <c r="W159" s="3"/>
      <c r="X159" s="3">
        <v>-30</v>
      </c>
      <c r="Y159" s="3">
        <v>-140</v>
      </c>
      <c r="Z159" s="3"/>
      <c r="AA159" s="3"/>
      <c r="AB159" s="3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</row>
    <row r="160" spans="1:48" x14ac:dyDescent="0.3">
      <c r="A160" s="5">
        <v>45991</v>
      </c>
      <c r="B160" s="3">
        <v>1141</v>
      </c>
      <c r="C160" s="4" t="s">
        <v>59</v>
      </c>
      <c r="D160" s="3"/>
      <c r="E160" s="3"/>
      <c r="F160" s="3"/>
      <c r="G160" s="3">
        <v>-50</v>
      </c>
      <c r="H160" s="3"/>
      <c r="I160" s="3"/>
      <c r="J160" s="3"/>
      <c r="K160" s="3"/>
      <c r="L160" s="3"/>
      <c r="M160" s="15"/>
      <c r="N160" s="3"/>
      <c r="O160" s="15"/>
      <c r="P160" s="3"/>
      <c r="Q160" s="15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</row>
    <row r="161" spans="1:48" x14ac:dyDescent="0.3">
      <c r="A161" s="30">
        <v>45991</v>
      </c>
      <c r="B161" s="25" t="s">
        <v>62</v>
      </c>
      <c r="C161" s="43" t="s">
        <v>102</v>
      </c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>
        <v>300</v>
      </c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7"/>
      <c r="AT161" s="39"/>
      <c r="AU161" s="39"/>
      <c r="AV161" s="39"/>
    </row>
    <row r="162" spans="1:48" x14ac:dyDescent="0.3">
      <c r="A162" s="5">
        <v>45992</v>
      </c>
      <c r="B162" s="3">
        <v>1142</v>
      </c>
      <c r="C162" s="12" t="s">
        <v>88</v>
      </c>
      <c r="D162" s="3"/>
      <c r="E162" s="3"/>
      <c r="F162" s="3"/>
      <c r="G162" s="3"/>
      <c r="H162" s="3"/>
      <c r="I162" s="3"/>
      <c r="J162" s="3"/>
      <c r="K162" s="3"/>
      <c r="L162" s="3"/>
      <c r="M162" s="15"/>
      <c r="N162" s="3"/>
      <c r="O162" s="15"/>
      <c r="P162" s="3"/>
      <c r="Q162" s="15"/>
      <c r="R162" s="3"/>
      <c r="S162" s="3"/>
      <c r="T162" s="3"/>
      <c r="U162" s="3"/>
      <c r="V162" s="3"/>
      <c r="W162" s="3"/>
      <c r="X162" s="3"/>
      <c r="Y162" s="3">
        <v>-8</v>
      </c>
      <c r="Z162" s="3"/>
      <c r="AA162" s="3"/>
      <c r="AB162" s="3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</row>
    <row r="163" spans="1:48" x14ac:dyDescent="0.3">
      <c r="A163" s="5">
        <v>45992</v>
      </c>
      <c r="B163" s="3">
        <v>1143</v>
      </c>
      <c r="C163" s="12" t="s">
        <v>99</v>
      </c>
      <c r="D163" s="3"/>
      <c r="E163" s="3"/>
      <c r="F163" s="3"/>
      <c r="G163" s="3"/>
      <c r="H163" s="3">
        <v>-200</v>
      </c>
      <c r="I163" s="3"/>
      <c r="J163" s="3"/>
      <c r="K163" s="3"/>
      <c r="L163" s="3"/>
      <c r="M163" s="15"/>
      <c r="N163" s="3"/>
      <c r="O163" s="15"/>
      <c r="P163" s="3"/>
      <c r="Q163" s="15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</row>
    <row r="164" spans="1:48" x14ac:dyDescent="0.3">
      <c r="A164" s="5">
        <v>45992</v>
      </c>
      <c r="B164" s="3">
        <v>1144</v>
      </c>
      <c r="C164" s="12" t="s">
        <v>100</v>
      </c>
      <c r="D164" s="3"/>
      <c r="E164" s="3"/>
      <c r="F164" s="3"/>
      <c r="G164" s="3">
        <v>-200</v>
      </c>
      <c r="H164" s="3"/>
      <c r="I164" s="3"/>
      <c r="J164" s="3"/>
      <c r="K164" s="3"/>
      <c r="L164" s="3"/>
      <c r="M164" s="15"/>
      <c r="N164" s="3"/>
      <c r="O164" s="15"/>
      <c r="P164" s="3"/>
      <c r="Q164" s="15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</row>
    <row r="165" spans="1:48" x14ac:dyDescent="0.3">
      <c r="A165" s="5">
        <v>45992</v>
      </c>
      <c r="B165" s="3">
        <v>1145</v>
      </c>
      <c r="C165" s="12" t="s">
        <v>19</v>
      </c>
      <c r="D165" s="3"/>
      <c r="E165" s="3"/>
      <c r="F165" s="3"/>
      <c r="G165" s="3">
        <v>-50</v>
      </c>
      <c r="H165" s="3"/>
      <c r="I165" s="3"/>
      <c r="J165" s="3"/>
      <c r="K165" s="3"/>
      <c r="L165" s="3"/>
      <c r="M165" s="15"/>
      <c r="N165" s="3"/>
      <c r="O165" s="15"/>
      <c r="P165" s="3"/>
      <c r="Q165" s="15"/>
      <c r="R165" s="3"/>
      <c r="S165" s="3"/>
      <c r="T165" s="3"/>
      <c r="U165" s="3"/>
      <c r="V165" s="3">
        <v>-20</v>
      </c>
      <c r="W165" s="3"/>
      <c r="X165" s="3"/>
      <c r="Y165" s="3"/>
      <c r="Z165" s="3"/>
      <c r="AA165" s="3"/>
      <c r="AB165" s="3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</row>
    <row r="166" spans="1:48" x14ac:dyDescent="0.3">
      <c r="A166" s="5">
        <v>45992</v>
      </c>
      <c r="B166" s="3">
        <v>1146</v>
      </c>
      <c r="C166" s="12" t="s">
        <v>98</v>
      </c>
      <c r="D166" s="3"/>
      <c r="E166" s="3"/>
      <c r="F166" s="3"/>
      <c r="G166" s="3"/>
      <c r="H166" s="3"/>
      <c r="I166" s="3"/>
      <c r="J166" s="3"/>
      <c r="K166" s="3"/>
      <c r="L166" s="3"/>
      <c r="M166" s="15"/>
      <c r="N166" s="3"/>
      <c r="O166" s="15"/>
      <c r="P166" s="3"/>
      <c r="Q166" s="15"/>
      <c r="R166" s="3"/>
      <c r="S166" s="3"/>
      <c r="T166" s="3"/>
      <c r="U166" s="3"/>
      <c r="V166" s="3"/>
      <c r="W166" s="3"/>
      <c r="X166" s="3"/>
      <c r="Y166" s="3">
        <v>-8</v>
      </c>
      <c r="Z166" s="3"/>
      <c r="AA166" s="3"/>
      <c r="AB166" s="3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</row>
    <row r="167" spans="1:48" x14ac:dyDescent="0.3">
      <c r="A167" s="5">
        <v>45993</v>
      </c>
      <c r="B167" s="3">
        <v>1147</v>
      </c>
      <c r="C167" s="12" t="s">
        <v>101</v>
      </c>
      <c r="D167" s="3"/>
      <c r="E167" s="3"/>
      <c r="F167" s="3"/>
      <c r="G167" s="3">
        <v>-250</v>
      </c>
      <c r="H167" s="3"/>
      <c r="I167" s="3"/>
      <c r="J167" s="3"/>
      <c r="K167" s="3"/>
      <c r="L167" s="3"/>
      <c r="M167" s="15"/>
      <c r="N167" s="3"/>
      <c r="O167" s="15"/>
      <c r="P167" s="3"/>
      <c r="Q167" s="15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</row>
    <row r="168" spans="1:48" x14ac:dyDescent="0.3">
      <c r="A168" s="5">
        <v>45993</v>
      </c>
      <c r="B168" s="3">
        <v>1150</v>
      </c>
      <c r="C168" s="12" t="s">
        <v>85</v>
      </c>
      <c r="D168" s="3"/>
      <c r="E168" s="3"/>
      <c r="F168" s="3"/>
      <c r="G168" s="3">
        <v>-25</v>
      </c>
      <c r="H168" s="3"/>
      <c r="I168" s="3"/>
      <c r="J168" s="3"/>
      <c r="K168" s="3"/>
      <c r="L168" s="3"/>
      <c r="M168" s="15">
        <v>-50</v>
      </c>
      <c r="N168" s="3">
        <v>-684.3</v>
      </c>
      <c r="O168" s="15"/>
      <c r="P168" s="3"/>
      <c r="Q168" s="15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</row>
    <row r="169" spans="1:48" x14ac:dyDescent="0.3">
      <c r="A169" s="5">
        <v>45993</v>
      </c>
      <c r="B169" s="3">
        <v>1151</v>
      </c>
      <c r="C169" s="12" t="s">
        <v>88</v>
      </c>
      <c r="D169" s="3"/>
      <c r="E169" s="3"/>
      <c r="F169" s="3"/>
      <c r="G169" s="3"/>
      <c r="H169" s="3"/>
      <c r="I169" s="3"/>
      <c r="J169" s="3"/>
      <c r="K169" s="3"/>
      <c r="L169" s="3"/>
      <c r="M169" s="15"/>
      <c r="N169" s="3"/>
      <c r="O169" s="15"/>
      <c r="P169" s="3"/>
      <c r="Q169" s="15"/>
      <c r="R169" s="3"/>
      <c r="S169" s="3"/>
      <c r="T169" s="3"/>
      <c r="U169" s="3"/>
      <c r="V169" s="3"/>
      <c r="W169" s="3"/>
      <c r="X169" s="3"/>
      <c r="Y169" s="3">
        <v>-7</v>
      </c>
      <c r="Z169" s="3"/>
      <c r="AA169" s="3"/>
      <c r="AB169" s="3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</row>
    <row r="170" spans="1:48" x14ac:dyDescent="0.3">
      <c r="A170" s="5">
        <v>45993</v>
      </c>
      <c r="B170" s="3">
        <v>1152</v>
      </c>
      <c r="C170" s="4" t="s">
        <v>40</v>
      </c>
      <c r="D170" s="3"/>
      <c r="E170" s="3"/>
      <c r="F170" s="3"/>
      <c r="G170" s="3">
        <v>-50</v>
      </c>
      <c r="H170" s="3"/>
      <c r="I170" s="3"/>
      <c r="J170" s="3"/>
      <c r="K170" s="3"/>
      <c r="L170" s="3"/>
      <c r="M170" s="15"/>
      <c r="N170" s="3"/>
      <c r="O170" s="15"/>
      <c r="P170" s="3"/>
      <c r="Q170" s="15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</row>
    <row r="171" spans="1:48" x14ac:dyDescent="0.3">
      <c r="A171" s="5">
        <v>45994</v>
      </c>
      <c r="B171" s="3">
        <v>1153</v>
      </c>
      <c r="C171" s="4" t="s">
        <v>69</v>
      </c>
      <c r="D171" s="3"/>
      <c r="E171" s="3"/>
      <c r="F171" s="3"/>
      <c r="G171" s="3"/>
      <c r="H171" s="3"/>
      <c r="I171" s="3"/>
      <c r="J171" s="3"/>
      <c r="K171" s="3">
        <v>-50</v>
      </c>
      <c r="L171" s="3"/>
      <c r="M171" s="15"/>
      <c r="N171" s="3"/>
      <c r="O171" s="15"/>
      <c r="P171" s="3"/>
      <c r="Q171" s="15"/>
      <c r="R171" s="3"/>
      <c r="S171" s="3"/>
      <c r="T171" s="3"/>
      <c r="U171" s="3"/>
      <c r="V171" s="3"/>
      <c r="W171" s="3">
        <v>-25</v>
      </c>
      <c r="X171" s="3"/>
      <c r="Y171" s="3"/>
      <c r="Z171" s="3"/>
      <c r="AA171" s="3"/>
      <c r="AB171" s="3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</row>
    <row r="172" spans="1:48" x14ac:dyDescent="0.3">
      <c r="A172" s="5">
        <v>45994</v>
      </c>
      <c r="B172" s="3">
        <v>1154</v>
      </c>
      <c r="C172" s="4" t="s">
        <v>54</v>
      </c>
      <c r="D172" s="3"/>
      <c r="E172" s="3"/>
      <c r="F172" s="3"/>
      <c r="G172" s="3"/>
      <c r="H172" s="3"/>
      <c r="I172" s="3"/>
      <c r="J172" s="3"/>
      <c r="K172" s="3"/>
      <c r="L172" s="3"/>
      <c r="M172" s="15">
        <v>-10</v>
      </c>
      <c r="N172" s="3">
        <v>-129.6</v>
      </c>
      <c r="O172" s="15">
        <v>-15</v>
      </c>
      <c r="P172" s="3">
        <v>-340.93</v>
      </c>
      <c r="Q172" s="15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7"/>
      <c r="AD172" s="37"/>
      <c r="AE172" s="37">
        <v>-25</v>
      </c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</row>
    <row r="173" spans="1:48" x14ac:dyDescent="0.3">
      <c r="A173" s="5">
        <v>45995</v>
      </c>
      <c r="B173" s="3">
        <v>1155</v>
      </c>
      <c r="C173" s="12" t="s">
        <v>88</v>
      </c>
      <c r="D173" s="3"/>
      <c r="E173" s="3"/>
      <c r="F173" s="3"/>
      <c r="G173" s="3"/>
      <c r="H173" s="3"/>
      <c r="I173" s="3"/>
      <c r="J173" s="3"/>
      <c r="K173" s="3">
        <v>-20</v>
      </c>
      <c r="L173" s="3"/>
      <c r="M173" s="15"/>
      <c r="N173" s="3"/>
      <c r="O173" s="15"/>
      <c r="P173" s="3"/>
      <c r="Q173" s="15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</row>
    <row r="174" spans="1:48" x14ac:dyDescent="0.3">
      <c r="A174" s="30">
        <v>45995</v>
      </c>
      <c r="B174" s="25" t="s">
        <v>62</v>
      </c>
      <c r="C174" s="17" t="s">
        <v>74</v>
      </c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39"/>
      <c r="AD174" s="39"/>
      <c r="AE174" s="39"/>
      <c r="AF174" s="39">
        <v>307</v>
      </c>
      <c r="AG174" s="39">
        <v>5011.37</v>
      </c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7"/>
      <c r="AT174" s="39"/>
      <c r="AU174" s="39"/>
      <c r="AV174" s="39"/>
    </row>
    <row r="175" spans="1:48" x14ac:dyDescent="0.3">
      <c r="A175" s="5">
        <v>45995</v>
      </c>
      <c r="B175" s="3">
        <v>1156</v>
      </c>
      <c r="C175" s="4" t="s">
        <v>104</v>
      </c>
      <c r="D175" s="3"/>
      <c r="E175" s="3"/>
      <c r="F175" s="3"/>
      <c r="G175" s="3">
        <v>-100</v>
      </c>
      <c r="H175" s="3"/>
      <c r="I175" s="3"/>
      <c r="J175" s="3"/>
      <c r="K175" s="3"/>
      <c r="L175" s="3"/>
      <c r="M175" s="15"/>
      <c r="N175" s="3"/>
      <c r="O175" s="15"/>
      <c r="P175" s="3"/>
      <c r="Q175" s="15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</row>
    <row r="176" spans="1:48" x14ac:dyDescent="0.3">
      <c r="A176" s="5">
        <v>45995</v>
      </c>
      <c r="B176" s="3">
        <v>1157</v>
      </c>
      <c r="C176" s="4" t="s">
        <v>39</v>
      </c>
      <c r="D176" s="3"/>
      <c r="E176" s="3"/>
      <c r="F176" s="3"/>
      <c r="G176" s="3"/>
      <c r="H176" s="3"/>
      <c r="I176" s="3"/>
      <c r="J176" s="3"/>
      <c r="K176" s="3"/>
      <c r="L176" s="3"/>
      <c r="M176" s="15"/>
      <c r="N176" s="3"/>
      <c r="O176" s="15"/>
      <c r="P176" s="3"/>
      <c r="Q176" s="15">
        <v>-10</v>
      </c>
      <c r="R176" s="3">
        <v>-250.63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</row>
    <row r="177" spans="1:48" x14ac:dyDescent="0.3">
      <c r="A177" s="5">
        <v>45995</v>
      </c>
      <c r="B177" s="3">
        <v>1158</v>
      </c>
      <c r="C177" s="4" t="s">
        <v>30</v>
      </c>
      <c r="D177" s="3"/>
      <c r="E177" s="3"/>
      <c r="F177" s="3"/>
      <c r="G177" s="3"/>
      <c r="H177" s="3"/>
      <c r="I177" s="3"/>
      <c r="J177" s="3"/>
      <c r="K177" s="3">
        <v>-2</v>
      </c>
      <c r="L177" s="3"/>
      <c r="M177" s="15"/>
      <c r="N177" s="3"/>
      <c r="O177" s="15"/>
      <c r="P177" s="3"/>
      <c r="Q177" s="15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</row>
    <row r="178" spans="1:48" x14ac:dyDescent="0.3">
      <c r="A178" s="30">
        <v>45997</v>
      </c>
      <c r="B178" s="25" t="s">
        <v>62</v>
      </c>
      <c r="C178" s="17" t="s">
        <v>74</v>
      </c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39"/>
      <c r="AD178" s="39"/>
      <c r="AE178" s="39"/>
      <c r="AF178" s="39"/>
      <c r="AG178" s="39"/>
      <c r="AH178" s="39">
        <v>899</v>
      </c>
      <c r="AI178" s="39">
        <v>570</v>
      </c>
      <c r="AJ178" s="39">
        <v>31</v>
      </c>
      <c r="AK178" s="39"/>
      <c r="AL178" s="39"/>
      <c r="AM178" s="39"/>
      <c r="AN178" s="39"/>
      <c r="AO178" s="39"/>
      <c r="AP178" s="39"/>
      <c r="AQ178" s="39"/>
      <c r="AR178" s="39"/>
      <c r="AS178" s="37"/>
      <c r="AT178" s="39"/>
      <c r="AU178" s="39"/>
      <c r="AV178" s="39"/>
    </row>
    <row r="179" spans="1:48" x14ac:dyDescent="0.3">
      <c r="A179" s="5">
        <v>45997</v>
      </c>
      <c r="B179" s="3">
        <v>1159</v>
      </c>
      <c r="C179" s="4" t="s">
        <v>13</v>
      </c>
      <c r="D179" s="3"/>
      <c r="E179" s="3"/>
      <c r="F179" s="3"/>
      <c r="G179" s="3"/>
      <c r="H179" s="3">
        <v>-20</v>
      </c>
      <c r="I179" s="3"/>
      <c r="J179" s="3"/>
      <c r="K179" s="3"/>
      <c r="L179" s="3"/>
      <c r="M179" s="15"/>
      <c r="N179" s="3"/>
      <c r="O179" s="15"/>
      <c r="P179" s="3"/>
      <c r="Q179" s="15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</row>
    <row r="180" spans="1:48" x14ac:dyDescent="0.3">
      <c r="A180" s="46">
        <v>45997</v>
      </c>
      <c r="B180" s="3">
        <v>1160</v>
      </c>
      <c r="C180" s="4" t="s">
        <v>94</v>
      </c>
      <c r="D180" s="3"/>
      <c r="E180" s="3"/>
      <c r="F180" s="3"/>
      <c r="G180" s="3"/>
      <c r="H180" s="3"/>
      <c r="I180" s="3"/>
      <c r="J180" s="3"/>
      <c r="K180" s="3"/>
      <c r="L180" s="3"/>
      <c r="M180" s="15"/>
      <c r="N180" s="3"/>
      <c r="O180" s="15"/>
      <c r="P180" s="3"/>
      <c r="Q180" s="15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7"/>
      <c r="AD180" s="37"/>
      <c r="AE180" s="37"/>
      <c r="AF180" s="37"/>
      <c r="AG180" s="37"/>
      <c r="AH180" s="37"/>
      <c r="AI180" s="37"/>
      <c r="AJ180" s="37">
        <v>-31</v>
      </c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</row>
    <row r="181" spans="1:48" x14ac:dyDescent="0.3">
      <c r="A181" s="5">
        <v>45997</v>
      </c>
      <c r="B181" s="3">
        <v>1161</v>
      </c>
      <c r="C181" s="12" t="s">
        <v>59</v>
      </c>
      <c r="D181" s="3"/>
      <c r="E181" s="3"/>
      <c r="F181" s="3"/>
      <c r="G181" s="3">
        <v>-10</v>
      </c>
      <c r="H181" s="3"/>
      <c r="I181" s="3"/>
      <c r="J181" s="3"/>
      <c r="K181" s="3"/>
      <c r="L181" s="3"/>
      <c r="M181" s="15"/>
      <c r="N181" s="3"/>
      <c r="O181" s="15"/>
      <c r="P181" s="3"/>
      <c r="Q181" s="15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</row>
    <row r="182" spans="1:48" x14ac:dyDescent="0.3">
      <c r="A182" s="5">
        <v>45998</v>
      </c>
      <c r="B182" s="3">
        <v>1162</v>
      </c>
      <c r="C182" s="12" t="s">
        <v>19</v>
      </c>
      <c r="D182" s="3"/>
      <c r="E182" s="3"/>
      <c r="F182" s="3"/>
      <c r="G182" s="3"/>
      <c r="H182" s="3"/>
      <c r="I182" s="3"/>
      <c r="J182" s="3"/>
      <c r="K182" s="3"/>
      <c r="L182" s="3"/>
      <c r="M182" s="15"/>
      <c r="N182" s="3"/>
      <c r="O182" s="15"/>
      <c r="P182" s="3"/>
      <c r="Q182" s="15"/>
      <c r="R182" s="3"/>
      <c r="S182" s="3"/>
      <c r="T182" s="3"/>
      <c r="U182" s="3"/>
      <c r="V182" s="3">
        <v>-15</v>
      </c>
      <c r="W182" s="3"/>
      <c r="X182" s="3"/>
      <c r="Y182" s="3"/>
      <c r="Z182" s="3"/>
      <c r="AA182" s="3"/>
      <c r="AB182" s="3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</row>
    <row r="183" spans="1:48" x14ac:dyDescent="0.3">
      <c r="A183" s="5">
        <v>45998</v>
      </c>
      <c r="B183" s="3">
        <v>1163</v>
      </c>
      <c r="C183" s="12" t="s">
        <v>109</v>
      </c>
      <c r="D183" s="3"/>
      <c r="E183" s="3"/>
      <c r="F183" s="3"/>
      <c r="G183" s="3"/>
      <c r="H183" s="3"/>
      <c r="I183" s="3"/>
      <c r="J183" s="3"/>
      <c r="K183" s="3"/>
      <c r="L183" s="3"/>
      <c r="M183" s="15"/>
      <c r="N183" s="3"/>
      <c r="O183" s="15"/>
      <c r="P183" s="3"/>
      <c r="Q183" s="15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7"/>
      <c r="AD183" s="37"/>
      <c r="AE183" s="37">
        <v>-200</v>
      </c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</row>
    <row r="184" spans="1:48" x14ac:dyDescent="0.3">
      <c r="A184" s="5">
        <v>45998</v>
      </c>
      <c r="B184" s="3">
        <v>1164</v>
      </c>
      <c r="C184" s="4" t="s">
        <v>39</v>
      </c>
      <c r="D184" s="3"/>
      <c r="E184" s="3"/>
      <c r="F184" s="3"/>
      <c r="G184" s="3"/>
      <c r="H184" s="3"/>
      <c r="I184" s="3"/>
      <c r="J184" s="3"/>
      <c r="K184" s="3"/>
      <c r="L184" s="3"/>
      <c r="M184" s="15">
        <v>-20</v>
      </c>
      <c r="N184" s="3">
        <v>-240.37</v>
      </c>
      <c r="O184" s="15">
        <v>-30</v>
      </c>
      <c r="P184" s="3">
        <v>-652.66999999999996</v>
      </c>
      <c r="Q184" s="15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</row>
    <row r="185" spans="1:48" x14ac:dyDescent="0.3">
      <c r="A185" s="5">
        <v>45998</v>
      </c>
      <c r="B185" s="3">
        <v>1165</v>
      </c>
      <c r="C185" s="4" t="s">
        <v>19</v>
      </c>
      <c r="D185" s="3"/>
      <c r="E185" s="3"/>
      <c r="F185" s="3"/>
      <c r="G185" s="3"/>
      <c r="H185" s="3"/>
      <c r="I185" s="3"/>
      <c r="J185" s="3"/>
      <c r="K185" s="3"/>
      <c r="L185" s="3"/>
      <c r="M185" s="15"/>
      <c r="N185" s="3"/>
      <c r="O185" s="15"/>
      <c r="P185" s="3"/>
      <c r="Q185" s="15"/>
      <c r="R185" s="3"/>
      <c r="S185" s="3"/>
      <c r="T185" s="3"/>
      <c r="U185" s="3"/>
      <c r="V185" s="3">
        <v>-15</v>
      </c>
      <c r="W185" s="3"/>
      <c r="X185" s="3"/>
      <c r="Y185" s="3"/>
      <c r="Z185" s="3"/>
      <c r="AA185" s="3"/>
      <c r="AB185" s="3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</row>
    <row r="186" spans="1:48" x14ac:dyDescent="0.3">
      <c r="A186" s="5">
        <v>45999</v>
      </c>
      <c r="B186" s="3">
        <v>1166</v>
      </c>
      <c r="C186" s="12" t="s">
        <v>88</v>
      </c>
      <c r="D186" s="3"/>
      <c r="E186" s="3"/>
      <c r="F186" s="3"/>
      <c r="G186" s="3"/>
      <c r="H186" s="3"/>
      <c r="I186" s="3"/>
      <c r="J186" s="3"/>
      <c r="K186" s="3">
        <v>-20</v>
      </c>
      <c r="L186" s="3"/>
      <c r="M186" s="15"/>
      <c r="N186" s="3"/>
      <c r="O186" s="15"/>
      <c r="P186" s="3"/>
      <c r="Q186" s="15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</row>
    <row r="187" spans="1:48" x14ac:dyDescent="0.3">
      <c r="A187" s="5">
        <v>45999</v>
      </c>
      <c r="B187" s="3">
        <v>1167</v>
      </c>
      <c r="C187" s="12" t="s">
        <v>110</v>
      </c>
      <c r="D187" s="3"/>
      <c r="E187" s="3"/>
      <c r="F187" s="3"/>
      <c r="G187" s="3"/>
      <c r="H187" s="3"/>
      <c r="I187" s="3"/>
      <c r="J187" s="3"/>
      <c r="K187" s="3"/>
      <c r="L187" s="3"/>
      <c r="M187" s="15"/>
      <c r="N187" s="3"/>
      <c r="O187" s="2">
        <v>-15</v>
      </c>
      <c r="P187" s="2">
        <f>-688.42+233.88</f>
        <v>-454.53999999999996</v>
      </c>
      <c r="Q187" s="15">
        <v>-15</v>
      </c>
      <c r="R187" s="3">
        <v>-233.88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</row>
    <row r="188" spans="1:48" x14ac:dyDescent="0.3">
      <c r="A188" s="5">
        <v>45999</v>
      </c>
      <c r="B188" s="3">
        <v>1168</v>
      </c>
      <c r="C188" s="4" t="s">
        <v>16</v>
      </c>
      <c r="D188" s="3"/>
      <c r="E188" s="3"/>
      <c r="F188" s="3"/>
      <c r="G188" s="3">
        <v>-10</v>
      </c>
      <c r="H188" s="3"/>
      <c r="I188" s="3"/>
      <c r="J188" s="3"/>
      <c r="K188" s="3"/>
      <c r="L188" s="3"/>
      <c r="M188" s="15"/>
      <c r="N188" s="3"/>
      <c r="O188" s="15"/>
      <c r="P188" s="3"/>
      <c r="Q188" s="15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</row>
    <row r="189" spans="1:48" x14ac:dyDescent="0.3">
      <c r="A189" s="5">
        <v>45999</v>
      </c>
      <c r="B189" s="3">
        <v>1169</v>
      </c>
      <c r="C189" s="4" t="s">
        <v>19</v>
      </c>
      <c r="D189" s="3"/>
      <c r="E189" s="3"/>
      <c r="F189" s="3"/>
      <c r="G189" s="3">
        <v>-50</v>
      </c>
      <c r="H189" s="3"/>
      <c r="I189" s="3"/>
      <c r="J189" s="3"/>
      <c r="K189" s="3"/>
      <c r="L189" s="3"/>
      <c r="M189" s="15"/>
      <c r="N189" s="3"/>
      <c r="O189" s="15"/>
      <c r="P189" s="3"/>
      <c r="Q189" s="15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</row>
    <row r="190" spans="1:48" x14ac:dyDescent="0.3">
      <c r="A190" s="5">
        <v>46000</v>
      </c>
      <c r="B190" s="3">
        <v>1170</v>
      </c>
      <c r="C190" s="4" t="s">
        <v>19</v>
      </c>
      <c r="D190" s="3"/>
      <c r="E190" s="3"/>
      <c r="F190" s="3"/>
      <c r="G190" s="3">
        <v>-50</v>
      </c>
      <c r="H190" s="3"/>
      <c r="I190" s="3"/>
      <c r="J190" s="3"/>
      <c r="K190" s="3"/>
      <c r="L190" s="3"/>
      <c r="M190" s="15"/>
      <c r="N190" s="3"/>
      <c r="O190" s="15"/>
      <c r="P190" s="3"/>
      <c r="Q190" s="15"/>
      <c r="R190" s="3"/>
      <c r="S190" s="3"/>
      <c r="T190" s="3"/>
      <c r="U190" s="3"/>
      <c r="V190" s="3"/>
      <c r="W190" s="3">
        <v>-15</v>
      </c>
      <c r="X190" s="3"/>
      <c r="Y190" s="3"/>
      <c r="Z190" s="3"/>
      <c r="AA190" s="3"/>
      <c r="AB190" s="3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</row>
    <row r="191" spans="1:48" x14ac:dyDescent="0.3">
      <c r="A191" s="5">
        <v>46000</v>
      </c>
      <c r="B191" s="3">
        <v>1171</v>
      </c>
      <c r="C191" s="4" t="s">
        <v>13</v>
      </c>
      <c r="D191" s="3"/>
      <c r="E191" s="3"/>
      <c r="F191" s="3"/>
      <c r="G191" s="3"/>
      <c r="H191" s="3">
        <v>-30</v>
      </c>
      <c r="I191" s="3"/>
      <c r="J191" s="3"/>
      <c r="K191" s="3"/>
      <c r="L191" s="3"/>
      <c r="M191" s="15"/>
      <c r="N191" s="3"/>
      <c r="O191" s="15"/>
      <c r="P191" s="3"/>
      <c r="Q191" s="15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</row>
    <row r="192" spans="1:48" x14ac:dyDescent="0.3">
      <c r="A192" s="5">
        <v>46000</v>
      </c>
      <c r="B192" s="3">
        <v>1172</v>
      </c>
      <c r="C192" s="4" t="s">
        <v>111</v>
      </c>
      <c r="D192" s="3"/>
      <c r="E192" s="3"/>
      <c r="F192" s="3"/>
      <c r="G192" s="3"/>
      <c r="H192" s="3"/>
      <c r="I192" s="3">
        <v>-5</v>
      </c>
      <c r="J192" s="3"/>
      <c r="K192" s="3"/>
      <c r="L192" s="3"/>
      <c r="M192" s="15"/>
      <c r="N192" s="3"/>
      <c r="O192" s="15"/>
      <c r="P192" s="3"/>
      <c r="Q192" s="15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</row>
    <row r="193" spans="1:48" x14ac:dyDescent="0.3">
      <c r="A193" s="31">
        <v>46000</v>
      </c>
      <c r="B193" s="21">
        <v>1173</v>
      </c>
      <c r="C193" s="32" t="s">
        <v>19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>
        <v>15</v>
      </c>
      <c r="W193" s="3"/>
      <c r="X193" s="3"/>
      <c r="Y193" s="3"/>
      <c r="Z193" s="3"/>
      <c r="AA193" s="3"/>
      <c r="AB193" s="3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</row>
    <row r="194" spans="1:48" x14ac:dyDescent="0.3">
      <c r="A194" s="5">
        <v>46001</v>
      </c>
      <c r="B194" s="3">
        <v>1174</v>
      </c>
      <c r="C194" s="4" t="s">
        <v>112</v>
      </c>
      <c r="D194" s="3"/>
      <c r="E194" s="3"/>
      <c r="F194" s="3"/>
      <c r="G194" s="3"/>
      <c r="H194" s="3"/>
      <c r="I194" s="3"/>
      <c r="J194" s="3"/>
      <c r="K194" s="3"/>
      <c r="L194" s="3"/>
      <c r="M194" s="15"/>
      <c r="N194" s="3"/>
      <c r="O194" s="15"/>
      <c r="P194" s="3"/>
      <c r="Q194" s="15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7"/>
      <c r="AD194" s="37"/>
      <c r="AE194" s="37">
        <v>-10</v>
      </c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</row>
    <row r="195" spans="1:48" x14ac:dyDescent="0.3">
      <c r="A195" s="5">
        <v>46001</v>
      </c>
      <c r="B195" s="3">
        <v>1175</v>
      </c>
      <c r="C195" s="12" t="s">
        <v>69</v>
      </c>
      <c r="D195" s="3"/>
      <c r="E195" s="3"/>
      <c r="F195" s="3"/>
      <c r="G195" s="3">
        <v>-20</v>
      </c>
      <c r="H195" s="3"/>
      <c r="I195" s="3"/>
      <c r="J195" s="3"/>
      <c r="K195" s="3">
        <v>-50</v>
      </c>
      <c r="L195" s="3"/>
      <c r="M195" s="15"/>
      <c r="N195" s="3"/>
      <c r="O195" s="15"/>
      <c r="P195" s="3"/>
      <c r="Q195" s="15"/>
      <c r="R195" s="3"/>
      <c r="S195" s="3"/>
      <c r="T195" s="3"/>
      <c r="U195" s="3"/>
      <c r="V195" s="3"/>
      <c r="W195" s="3">
        <v>-30</v>
      </c>
      <c r="X195" s="3"/>
      <c r="Y195" s="3"/>
      <c r="Z195" s="3"/>
      <c r="AA195" s="3"/>
      <c r="AB195" s="3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</row>
    <row r="196" spans="1:48" x14ac:dyDescent="0.3">
      <c r="A196" s="5">
        <v>46001</v>
      </c>
      <c r="B196" s="3">
        <v>1176</v>
      </c>
      <c r="C196" s="4" t="s">
        <v>19</v>
      </c>
      <c r="D196" s="3"/>
      <c r="E196" s="3"/>
      <c r="F196" s="3"/>
      <c r="G196" s="3"/>
      <c r="H196" s="3"/>
      <c r="I196" s="3"/>
      <c r="J196" s="3"/>
      <c r="K196" s="3"/>
      <c r="L196" s="3"/>
      <c r="M196" s="15"/>
      <c r="N196" s="3"/>
      <c r="O196" s="15"/>
      <c r="P196" s="3"/>
      <c r="Q196" s="15"/>
      <c r="R196" s="3"/>
      <c r="S196" s="3"/>
      <c r="T196" s="3"/>
      <c r="U196" s="3"/>
      <c r="V196" s="3">
        <v>-20</v>
      </c>
      <c r="W196" s="3"/>
      <c r="X196" s="3">
        <v>-18</v>
      </c>
      <c r="Y196" s="3"/>
      <c r="Z196" s="3"/>
      <c r="AA196" s="3"/>
      <c r="AB196" s="3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</row>
    <row r="197" spans="1:48" x14ac:dyDescent="0.3">
      <c r="A197" s="5">
        <v>46001</v>
      </c>
      <c r="B197" s="3">
        <v>1177</v>
      </c>
      <c r="C197" s="4" t="s">
        <v>113</v>
      </c>
      <c r="D197" s="3"/>
      <c r="E197" s="3"/>
      <c r="F197" s="3"/>
      <c r="G197" s="3"/>
      <c r="H197" s="3"/>
      <c r="I197" s="3"/>
      <c r="J197" s="3"/>
      <c r="K197" s="3"/>
      <c r="L197" s="3"/>
      <c r="M197" s="15"/>
      <c r="N197" s="3"/>
      <c r="O197" s="15">
        <v>-10</v>
      </c>
      <c r="P197" s="3">
        <v>-215.12</v>
      </c>
      <c r="Q197" s="15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</row>
    <row r="198" spans="1:48" x14ac:dyDescent="0.3">
      <c r="A198" s="5">
        <v>46001</v>
      </c>
      <c r="B198" s="3">
        <v>1178</v>
      </c>
      <c r="C198" s="12" t="s">
        <v>114</v>
      </c>
      <c r="D198" s="3"/>
      <c r="E198" s="3"/>
      <c r="F198" s="3"/>
      <c r="G198" s="3"/>
      <c r="H198" s="3"/>
      <c r="I198" s="3"/>
      <c r="J198" s="3"/>
      <c r="K198" s="3">
        <v>-15</v>
      </c>
      <c r="L198" s="3"/>
      <c r="M198" s="15"/>
      <c r="N198" s="3"/>
      <c r="O198" s="15"/>
      <c r="P198" s="3"/>
      <c r="Q198" s="15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</row>
    <row r="199" spans="1:48" x14ac:dyDescent="0.3">
      <c r="A199" s="5">
        <v>46001</v>
      </c>
      <c r="B199" s="3">
        <v>1179</v>
      </c>
      <c r="C199" s="12" t="s">
        <v>48</v>
      </c>
      <c r="D199" s="3"/>
      <c r="E199" s="3"/>
      <c r="F199" s="3"/>
      <c r="G199" s="3"/>
      <c r="H199" s="3"/>
      <c r="I199" s="3">
        <v>-50</v>
      </c>
      <c r="J199" s="3"/>
      <c r="K199" s="3"/>
      <c r="L199" s="3"/>
      <c r="M199" s="15"/>
      <c r="N199" s="3"/>
      <c r="O199" s="15"/>
      <c r="P199" s="3"/>
      <c r="Q199" s="15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7"/>
      <c r="AD199" s="37"/>
      <c r="AE199" s="37"/>
      <c r="AF199" s="37"/>
      <c r="AG199" s="37"/>
      <c r="AH199" s="37">
        <v>-25</v>
      </c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</row>
    <row r="200" spans="1:48" x14ac:dyDescent="0.3">
      <c r="A200" s="5">
        <v>46001</v>
      </c>
      <c r="B200" s="3">
        <v>1180</v>
      </c>
      <c r="C200" s="12" t="s">
        <v>115</v>
      </c>
      <c r="D200" s="3"/>
      <c r="E200" s="3"/>
      <c r="F200" s="3"/>
      <c r="G200" s="3"/>
      <c r="H200" s="3"/>
      <c r="I200" s="3"/>
      <c r="J200" s="3"/>
      <c r="K200" s="3"/>
      <c r="L200" s="3"/>
      <c r="M200" s="15"/>
      <c r="N200" s="3"/>
      <c r="O200" s="15"/>
      <c r="P200" s="3"/>
      <c r="Q200" s="15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7"/>
      <c r="AD200" s="37"/>
      <c r="AE200" s="37"/>
      <c r="AF200" s="37"/>
      <c r="AG200" s="37"/>
      <c r="AH200" s="37">
        <v>-874</v>
      </c>
      <c r="AI200" s="37">
        <v>-570</v>
      </c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</row>
    <row r="201" spans="1:48" x14ac:dyDescent="0.3">
      <c r="A201" s="5">
        <v>46001</v>
      </c>
      <c r="B201" s="3">
        <v>1181</v>
      </c>
      <c r="C201" s="4" t="s">
        <v>28</v>
      </c>
      <c r="D201" s="3"/>
      <c r="E201" s="3"/>
      <c r="F201" s="3"/>
      <c r="G201" s="3"/>
      <c r="H201" s="3"/>
      <c r="I201" s="3"/>
      <c r="J201" s="3"/>
      <c r="K201" s="3"/>
      <c r="L201" s="3"/>
      <c r="M201" s="15">
        <v>-5</v>
      </c>
      <c r="N201" s="3">
        <v>-69.37</v>
      </c>
      <c r="O201" s="15"/>
      <c r="P201" s="3"/>
      <c r="Q201" s="15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</row>
    <row r="202" spans="1:48" x14ac:dyDescent="0.3">
      <c r="A202" s="5">
        <v>46001</v>
      </c>
      <c r="B202" s="3">
        <v>1182</v>
      </c>
      <c r="C202" s="4" t="s">
        <v>16</v>
      </c>
      <c r="D202" s="3"/>
      <c r="E202" s="3"/>
      <c r="F202" s="3"/>
      <c r="G202" s="3"/>
      <c r="H202" s="3"/>
      <c r="I202" s="3"/>
      <c r="J202" s="3"/>
      <c r="K202" s="3"/>
      <c r="L202" s="3"/>
      <c r="M202" s="15">
        <v>-15</v>
      </c>
      <c r="N202" s="3">
        <v>-216.4</v>
      </c>
      <c r="O202" s="15"/>
      <c r="P202" s="3"/>
      <c r="Q202" s="15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</row>
    <row r="203" spans="1:48" x14ac:dyDescent="0.3">
      <c r="A203" s="5">
        <v>46001</v>
      </c>
      <c r="B203" s="3">
        <v>1183</v>
      </c>
      <c r="C203" s="12" t="s">
        <v>116</v>
      </c>
      <c r="D203" s="3"/>
      <c r="E203" s="3"/>
      <c r="F203" s="3"/>
      <c r="G203" s="3"/>
      <c r="H203" s="3"/>
      <c r="I203" s="3"/>
      <c r="J203" s="3"/>
      <c r="K203" s="3"/>
      <c r="L203" s="3"/>
      <c r="M203" s="15"/>
      <c r="N203" s="3"/>
      <c r="O203" s="15"/>
      <c r="P203" s="3"/>
      <c r="Q203" s="15"/>
      <c r="R203" s="3"/>
      <c r="S203" s="3"/>
      <c r="T203" s="3"/>
      <c r="U203" s="3"/>
      <c r="V203" s="3">
        <v>-20</v>
      </c>
      <c r="W203" s="3"/>
      <c r="X203" s="3">
        <v>-16</v>
      </c>
      <c r="Y203" s="3"/>
      <c r="Z203" s="3"/>
      <c r="AA203" s="3"/>
      <c r="AB203" s="3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</row>
    <row r="204" spans="1:48" x14ac:dyDescent="0.3">
      <c r="A204" s="5">
        <v>46001</v>
      </c>
      <c r="B204" s="3">
        <v>1184</v>
      </c>
      <c r="C204" s="12" t="s">
        <v>54</v>
      </c>
      <c r="D204" s="3"/>
      <c r="E204" s="3"/>
      <c r="F204" s="3"/>
      <c r="G204" s="3">
        <v>-50</v>
      </c>
      <c r="H204" s="3"/>
      <c r="I204" s="3"/>
      <c r="J204" s="3"/>
      <c r="K204" s="3"/>
      <c r="L204" s="3"/>
      <c r="M204" s="15">
        <v>-15</v>
      </c>
      <c r="N204" s="3">
        <v>-213.64</v>
      </c>
      <c r="O204" s="15">
        <v>-25</v>
      </c>
      <c r="P204" s="3">
        <v>-541.89</v>
      </c>
      <c r="Q204" s="15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</row>
    <row r="205" spans="1:48" x14ac:dyDescent="0.3">
      <c r="A205" s="5">
        <v>46001</v>
      </c>
      <c r="B205" s="3">
        <v>1185</v>
      </c>
      <c r="C205" s="12" t="s">
        <v>117</v>
      </c>
      <c r="D205" s="3"/>
      <c r="E205" s="3"/>
      <c r="F205" s="3"/>
      <c r="G205" s="3"/>
      <c r="H205" s="3"/>
      <c r="I205" s="3"/>
      <c r="J205" s="3"/>
      <c r="K205" s="3"/>
      <c r="L205" s="3"/>
      <c r="M205" s="15"/>
      <c r="N205" s="3"/>
      <c r="O205" s="15"/>
      <c r="P205" s="3"/>
      <c r="Q205" s="15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7"/>
      <c r="AD205" s="37"/>
      <c r="AE205" s="37">
        <v>-50</v>
      </c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</row>
    <row r="206" spans="1:48" x14ac:dyDescent="0.3">
      <c r="A206" s="5">
        <v>46002</v>
      </c>
      <c r="B206" s="3">
        <v>1186</v>
      </c>
      <c r="C206" s="12" t="s">
        <v>111</v>
      </c>
      <c r="D206" s="3"/>
      <c r="E206" s="3"/>
      <c r="F206" s="3"/>
      <c r="G206" s="3"/>
      <c r="H206" s="3"/>
      <c r="I206" s="3">
        <v>-100</v>
      </c>
      <c r="J206" s="3"/>
      <c r="K206" s="3"/>
      <c r="L206" s="3"/>
      <c r="M206" s="15"/>
      <c r="N206" s="3"/>
      <c r="O206" s="15"/>
      <c r="P206" s="3"/>
      <c r="Q206" s="15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</row>
    <row r="207" spans="1:48" x14ac:dyDescent="0.3">
      <c r="A207" s="31">
        <v>46008</v>
      </c>
      <c r="B207" s="21">
        <v>1209</v>
      </c>
      <c r="C207" s="22" t="s">
        <v>111</v>
      </c>
      <c r="D207" s="21"/>
      <c r="E207" s="21"/>
      <c r="F207" s="21"/>
      <c r="G207" s="21"/>
      <c r="H207" s="21"/>
      <c r="I207" s="21">
        <v>100</v>
      </c>
      <c r="J207" s="3"/>
      <c r="K207" s="3"/>
      <c r="L207" s="3"/>
      <c r="M207" s="15"/>
      <c r="N207" s="3"/>
      <c r="O207" s="15"/>
      <c r="P207" s="3"/>
      <c r="Q207" s="15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</row>
    <row r="208" spans="1:48" x14ac:dyDescent="0.3">
      <c r="A208" s="5">
        <v>46002</v>
      </c>
      <c r="B208" s="3">
        <v>1187</v>
      </c>
      <c r="C208" s="4" t="s">
        <v>113</v>
      </c>
      <c r="D208" s="3"/>
      <c r="E208" s="3"/>
      <c r="F208" s="3"/>
      <c r="G208" s="3"/>
      <c r="H208" s="3"/>
      <c r="I208" s="3"/>
      <c r="J208" s="3"/>
      <c r="K208" s="3"/>
      <c r="L208" s="3"/>
      <c r="M208" s="15"/>
      <c r="N208" s="3"/>
      <c r="O208" s="15">
        <v>-6</v>
      </c>
      <c r="P208" s="3">
        <v>-127.48</v>
      </c>
      <c r="Q208" s="15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</row>
    <row r="209" spans="1:48" x14ac:dyDescent="0.3">
      <c r="A209" s="5">
        <v>46002</v>
      </c>
      <c r="B209" s="3">
        <v>1188</v>
      </c>
      <c r="C209" s="4" t="s">
        <v>19</v>
      </c>
      <c r="D209" s="3"/>
      <c r="E209" s="3"/>
      <c r="F209" s="3"/>
      <c r="G209" s="3">
        <v>-50</v>
      </c>
      <c r="H209" s="3"/>
      <c r="I209" s="3"/>
      <c r="J209" s="3"/>
      <c r="K209" s="3"/>
      <c r="L209" s="3"/>
      <c r="M209" s="15"/>
      <c r="N209" s="3"/>
      <c r="O209" s="15"/>
      <c r="P209" s="3"/>
      <c r="Q209" s="15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7"/>
      <c r="AD209" s="37"/>
      <c r="AE209" s="37"/>
      <c r="AF209" s="37"/>
      <c r="AG209" s="37"/>
      <c r="AH209" s="37"/>
      <c r="AI209" s="37"/>
      <c r="AJ209" s="37"/>
      <c r="AK209" s="37">
        <v>-5</v>
      </c>
      <c r="AL209" s="37">
        <v>-20</v>
      </c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</row>
    <row r="210" spans="1:48" x14ac:dyDescent="0.3">
      <c r="A210" s="5">
        <v>46002</v>
      </c>
      <c r="B210" s="3">
        <v>1189</v>
      </c>
      <c r="C210" s="12" t="s">
        <v>98</v>
      </c>
      <c r="D210" s="3"/>
      <c r="E210" s="3"/>
      <c r="F210" s="3"/>
      <c r="G210" s="3"/>
      <c r="H210" s="3"/>
      <c r="I210" s="3"/>
      <c r="J210" s="3"/>
      <c r="K210" s="3"/>
      <c r="L210" s="3"/>
      <c r="M210" s="15"/>
      <c r="N210" s="3"/>
      <c r="O210" s="15"/>
      <c r="P210" s="3"/>
      <c r="Q210" s="15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>
        <v>-6</v>
      </c>
      <c r="AN210" s="37"/>
      <c r="AO210" s="37"/>
      <c r="AP210" s="37"/>
      <c r="AQ210" s="37"/>
      <c r="AR210" s="37"/>
      <c r="AS210" s="37"/>
      <c r="AT210" s="37"/>
      <c r="AU210" s="37"/>
      <c r="AV210" s="37"/>
    </row>
    <row r="211" spans="1:48" x14ac:dyDescent="0.3">
      <c r="A211" s="30">
        <v>46002</v>
      </c>
      <c r="B211" s="25" t="s">
        <v>62</v>
      </c>
      <c r="C211" s="43" t="s">
        <v>72</v>
      </c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39"/>
      <c r="AD211" s="39">
        <v>15</v>
      </c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</row>
    <row r="212" spans="1:48" x14ac:dyDescent="0.3">
      <c r="A212" s="5">
        <v>46002</v>
      </c>
      <c r="B212" s="3">
        <v>1190</v>
      </c>
      <c r="C212" s="12" t="s">
        <v>94</v>
      </c>
      <c r="D212" s="3"/>
      <c r="E212" s="3"/>
      <c r="F212" s="3"/>
      <c r="G212" s="3"/>
      <c r="H212" s="3"/>
      <c r="I212" s="3"/>
      <c r="J212" s="3"/>
      <c r="K212" s="3"/>
      <c r="L212" s="3"/>
      <c r="M212" s="15"/>
      <c r="N212" s="3"/>
      <c r="O212" s="15"/>
      <c r="P212" s="3"/>
      <c r="Q212" s="15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7"/>
      <c r="AD212" s="37">
        <v>-15</v>
      </c>
      <c r="AE212" s="37"/>
      <c r="AF212" s="37"/>
      <c r="AG212" s="37"/>
      <c r="AH212" s="37"/>
      <c r="AI212" s="37"/>
      <c r="AJ212" s="37"/>
      <c r="AK212" s="37">
        <v>-5</v>
      </c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</row>
    <row r="213" spans="1:48" x14ac:dyDescent="0.3">
      <c r="A213" s="5">
        <v>46002</v>
      </c>
      <c r="B213" s="3">
        <v>1191</v>
      </c>
      <c r="C213" s="12" t="s">
        <v>28</v>
      </c>
      <c r="D213" s="3"/>
      <c r="E213" s="3"/>
      <c r="F213" s="3"/>
      <c r="G213" s="3"/>
      <c r="H213" s="3"/>
      <c r="I213" s="3"/>
      <c r="J213" s="3"/>
      <c r="K213" s="3"/>
      <c r="L213" s="3"/>
      <c r="M213" s="15"/>
      <c r="N213" s="3"/>
      <c r="O213" s="15"/>
      <c r="P213" s="3"/>
      <c r="Q213" s="15"/>
      <c r="R213" s="3"/>
      <c r="S213" s="3"/>
      <c r="T213" s="3"/>
      <c r="U213" s="3"/>
      <c r="V213" s="3"/>
      <c r="W213" s="3">
        <v>-75</v>
      </c>
      <c r="X213" s="3"/>
      <c r="Y213" s="3"/>
      <c r="Z213" s="3"/>
      <c r="AA213" s="3"/>
      <c r="AB213" s="3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</row>
    <row r="214" spans="1:48" x14ac:dyDescent="0.3">
      <c r="A214" s="30">
        <v>45998</v>
      </c>
      <c r="B214" s="25" t="s">
        <v>62</v>
      </c>
      <c r="C214" s="17" t="s">
        <v>74</v>
      </c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39"/>
      <c r="AD214" s="39"/>
      <c r="AE214" s="39"/>
      <c r="AF214" s="39"/>
      <c r="AG214" s="39"/>
      <c r="AH214" s="39"/>
      <c r="AI214" s="39"/>
      <c r="AJ214" s="39"/>
      <c r="AK214" s="39">
        <v>30</v>
      </c>
      <c r="AL214" s="39">
        <v>450</v>
      </c>
      <c r="AM214" s="39">
        <v>120</v>
      </c>
      <c r="AN214" s="39">
        <v>450</v>
      </c>
      <c r="AO214" s="39">
        <v>100</v>
      </c>
      <c r="AP214" s="39">
        <v>180</v>
      </c>
      <c r="AQ214" s="39">
        <v>113</v>
      </c>
      <c r="AR214" s="39"/>
      <c r="AS214" s="37"/>
      <c r="AT214" s="39"/>
      <c r="AU214" s="39"/>
      <c r="AV214" s="39"/>
    </row>
    <row r="215" spans="1:48" x14ac:dyDescent="0.3">
      <c r="A215" s="30">
        <v>46004</v>
      </c>
      <c r="B215" s="25" t="s">
        <v>62</v>
      </c>
      <c r="C215" s="43" t="s">
        <v>74</v>
      </c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39"/>
      <c r="AD215" s="39"/>
      <c r="AE215" s="39"/>
      <c r="AF215" s="39"/>
      <c r="AG215" s="39"/>
      <c r="AH215" s="39"/>
      <c r="AI215" s="39"/>
      <c r="AJ215" s="39"/>
      <c r="AK215" s="39">
        <v>30</v>
      </c>
      <c r="AL215" s="39"/>
      <c r="AM215" s="39">
        <v>120</v>
      </c>
      <c r="AN215" s="39"/>
      <c r="AO215" s="39">
        <v>100</v>
      </c>
      <c r="AP215" s="39">
        <v>180</v>
      </c>
      <c r="AQ215" s="39">
        <v>113</v>
      </c>
      <c r="AR215" s="39"/>
      <c r="AS215" s="37"/>
      <c r="AT215" s="39"/>
      <c r="AU215" s="39"/>
      <c r="AV215" s="39"/>
    </row>
    <row r="216" spans="1:48" x14ac:dyDescent="0.3">
      <c r="A216" s="31">
        <v>46004</v>
      </c>
      <c r="B216" s="21">
        <v>1192</v>
      </c>
      <c r="C216" s="22" t="s">
        <v>54</v>
      </c>
      <c r="D216" s="21"/>
      <c r="E216" s="21"/>
      <c r="F216" s="21"/>
      <c r="G216" s="21">
        <v>20</v>
      </c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3"/>
      <c r="Z216" s="3"/>
      <c r="AA216" s="3"/>
      <c r="AB216" s="3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</row>
    <row r="217" spans="1:48" x14ac:dyDescent="0.3">
      <c r="A217" s="31">
        <v>46004</v>
      </c>
      <c r="B217" s="21">
        <v>1193</v>
      </c>
      <c r="C217" s="32" t="s">
        <v>19</v>
      </c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>
        <v>20</v>
      </c>
      <c r="W217" s="21"/>
      <c r="X217" s="21">
        <v>18</v>
      </c>
      <c r="Y217" s="3"/>
      <c r="Z217" s="3"/>
      <c r="AA217" s="3"/>
      <c r="AB217" s="3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</row>
    <row r="218" spans="1:48" x14ac:dyDescent="0.3">
      <c r="A218" s="30">
        <v>46004</v>
      </c>
      <c r="B218" s="25" t="s">
        <v>62</v>
      </c>
      <c r="C218" s="17" t="s">
        <v>124</v>
      </c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39"/>
      <c r="AD218" s="39">
        <v>7</v>
      </c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</row>
    <row r="219" spans="1:48" x14ac:dyDescent="0.3">
      <c r="A219" s="5">
        <v>46004</v>
      </c>
      <c r="B219" s="3">
        <v>1194</v>
      </c>
      <c r="C219" s="4" t="s">
        <v>114</v>
      </c>
      <c r="D219" s="3"/>
      <c r="E219" s="3"/>
      <c r="F219" s="3"/>
      <c r="G219" s="3"/>
      <c r="H219" s="3"/>
      <c r="I219" s="3"/>
      <c r="J219" s="3"/>
      <c r="K219" s="3"/>
      <c r="L219" s="3"/>
      <c r="M219" s="15"/>
      <c r="N219" s="3"/>
      <c r="O219" s="15"/>
      <c r="P219" s="3"/>
      <c r="Q219" s="15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>
        <v>-20</v>
      </c>
      <c r="AO219" s="37"/>
      <c r="AP219" s="37"/>
      <c r="AQ219" s="37"/>
      <c r="AR219" s="37"/>
      <c r="AS219" s="37"/>
      <c r="AT219" s="37"/>
      <c r="AU219" s="37"/>
      <c r="AV219" s="37"/>
    </row>
    <row r="220" spans="1:48" x14ac:dyDescent="0.3">
      <c r="A220" s="5">
        <v>46004</v>
      </c>
      <c r="B220" s="3">
        <v>1195</v>
      </c>
      <c r="C220" s="4" t="s">
        <v>113</v>
      </c>
      <c r="D220" s="3"/>
      <c r="E220" s="3"/>
      <c r="F220" s="3"/>
      <c r="G220" s="3"/>
      <c r="H220" s="3"/>
      <c r="I220" s="3"/>
      <c r="J220" s="3"/>
      <c r="K220" s="3"/>
      <c r="L220" s="3"/>
      <c r="M220" s="15"/>
      <c r="N220" s="3"/>
      <c r="O220" s="15">
        <v>-13</v>
      </c>
      <c r="P220" s="3">
        <v>-280.01</v>
      </c>
      <c r="Q220" s="15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</row>
    <row r="221" spans="1:48" x14ac:dyDescent="0.3">
      <c r="A221" s="5">
        <v>46004</v>
      </c>
      <c r="B221" s="3">
        <v>1196</v>
      </c>
      <c r="C221" s="12" t="s">
        <v>94</v>
      </c>
      <c r="D221" s="3"/>
      <c r="E221" s="3"/>
      <c r="F221" s="3"/>
      <c r="G221" s="3"/>
      <c r="H221" s="3"/>
      <c r="I221" s="3"/>
      <c r="J221" s="3"/>
      <c r="K221" s="3"/>
      <c r="L221" s="3"/>
      <c r="M221" s="15"/>
      <c r="N221" s="3"/>
      <c r="O221" s="15"/>
      <c r="P221" s="3"/>
      <c r="Q221" s="15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7"/>
      <c r="AD221" s="37">
        <v>-7</v>
      </c>
      <c r="AE221" s="37"/>
      <c r="AF221" s="37"/>
      <c r="AG221" s="37"/>
      <c r="AH221" s="37"/>
      <c r="AI221" s="37"/>
      <c r="AJ221" s="37"/>
      <c r="AK221" s="37">
        <v>-10</v>
      </c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</row>
    <row r="222" spans="1:48" x14ac:dyDescent="0.3">
      <c r="A222" s="31">
        <v>46005</v>
      </c>
      <c r="B222" s="21">
        <v>1197</v>
      </c>
      <c r="C222" s="22" t="s">
        <v>111</v>
      </c>
      <c r="D222" s="21"/>
      <c r="E222" s="21"/>
      <c r="F222" s="21"/>
      <c r="G222" s="21"/>
      <c r="H222" s="21"/>
      <c r="I222" s="21">
        <v>5</v>
      </c>
      <c r="J222" s="3"/>
      <c r="K222" s="3"/>
      <c r="L222" s="3"/>
      <c r="M222" s="15"/>
      <c r="N222" s="3"/>
      <c r="O222" s="15"/>
      <c r="P222" s="3"/>
      <c r="Q222" s="15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</row>
    <row r="223" spans="1:48" x14ac:dyDescent="0.3">
      <c r="A223" s="5">
        <v>46005</v>
      </c>
      <c r="B223" s="3">
        <v>1198</v>
      </c>
      <c r="C223" s="4" t="s">
        <v>113</v>
      </c>
      <c r="D223" s="3"/>
      <c r="E223" s="3"/>
      <c r="F223" s="3"/>
      <c r="G223" s="3"/>
      <c r="H223" s="3"/>
      <c r="I223" s="3"/>
      <c r="J223" s="3"/>
      <c r="K223" s="3"/>
      <c r="L223" s="3"/>
      <c r="M223" s="15"/>
      <c r="N223" s="3"/>
      <c r="O223" s="15">
        <v>-8</v>
      </c>
      <c r="P223" s="3">
        <v>-190.38</v>
      </c>
      <c r="Q223" s="15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7"/>
      <c r="AD223" s="37"/>
      <c r="AE223" s="37">
        <v>-1</v>
      </c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</row>
    <row r="224" spans="1:48" x14ac:dyDescent="0.3">
      <c r="A224" s="5">
        <v>46005</v>
      </c>
      <c r="B224" s="3">
        <v>1199</v>
      </c>
      <c r="C224" s="12" t="s">
        <v>104</v>
      </c>
      <c r="D224" s="3"/>
      <c r="E224" s="3"/>
      <c r="F224" s="3"/>
      <c r="G224" s="3">
        <v>-100</v>
      </c>
      <c r="H224" s="3"/>
      <c r="I224" s="3"/>
      <c r="J224" s="3"/>
      <c r="K224" s="3"/>
      <c r="L224" s="3"/>
      <c r="M224" s="15"/>
      <c r="N224" s="3"/>
      <c r="O224" s="15"/>
      <c r="P224" s="3"/>
      <c r="Q224" s="15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</row>
    <row r="225" spans="1:48" x14ac:dyDescent="0.3">
      <c r="A225" s="5">
        <v>46005</v>
      </c>
      <c r="B225" s="3">
        <v>1200</v>
      </c>
      <c r="C225" s="4" t="s">
        <v>60</v>
      </c>
      <c r="D225" s="3"/>
      <c r="E225" s="3"/>
      <c r="F225" s="3"/>
      <c r="G225" s="3"/>
      <c r="H225" s="3"/>
      <c r="I225" s="3"/>
      <c r="J225" s="3"/>
      <c r="K225" s="3"/>
      <c r="L225" s="3"/>
      <c r="M225" s="15"/>
      <c r="N225" s="3"/>
      <c r="O225" s="15"/>
      <c r="P225" s="3"/>
      <c r="Q225" s="15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>
        <v>-25</v>
      </c>
      <c r="AN225" s="37"/>
      <c r="AO225" s="37"/>
      <c r="AP225" s="37"/>
      <c r="AQ225" s="37"/>
      <c r="AR225" s="37"/>
      <c r="AS225" s="37"/>
      <c r="AT225" s="37"/>
      <c r="AU225" s="37"/>
      <c r="AV225" s="37"/>
    </row>
    <row r="226" spans="1:48" x14ac:dyDescent="0.3">
      <c r="A226" s="5">
        <v>46005</v>
      </c>
      <c r="B226" s="3">
        <v>1201</v>
      </c>
      <c r="C226" s="4" t="s">
        <v>60</v>
      </c>
      <c r="D226" s="3"/>
      <c r="E226" s="3"/>
      <c r="F226" s="3"/>
      <c r="G226" s="3"/>
      <c r="H226" s="3">
        <v>-10</v>
      </c>
      <c r="I226" s="3"/>
      <c r="J226" s="3"/>
      <c r="K226" s="3"/>
      <c r="L226" s="3"/>
      <c r="M226" s="15"/>
      <c r="N226" s="3"/>
      <c r="O226" s="15"/>
      <c r="P226" s="3"/>
      <c r="Q226" s="15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</row>
    <row r="227" spans="1:48" x14ac:dyDescent="0.3">
      <c r="A227" s="5">
        <v>46005</v>
      </c>
      <c r="B227" s="3">
        <v>1202</v>
      </c>
      <c r="C227" s="12" t="s">
        <v>59</v>
      </c>
      <c r="D227" s="3"/>
      <c r="E227" s="3"/>
      <c r="F227" s="3"/>
      <c r="G227" s="3">
        <v>-30</v>
      </c>
      <c r="H227" s="3"/>
      <c r="I227" s="3"/>
      <c r="J227" s="3"/>
      <c r="K227" s="3"/>
      <c r="L227" s="3"/>
      <c r="M227" s="15"/>
      <c r="N227" s="3"/>
      <c r="O227" s="15"/>
      <c r="P227" s="3"/>
      <c r="Q227" s="15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</row>
    <row r="228" spans="1:48" x14ac:dyDescent="0.3">
      <c r="A228" s="30">
        <v>46005</v>
      </c>
      <c r="B228" s="25" t="s">
        <v>62</v>
      </c>
      <c r="C228" s="17" t="s">
        <v>127</v>
      </c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>
        <v>179</v>
      </c>
      <c r="AN228" s="39"/>
      <c r="AO228" s="39">
        <v>133</v>
      </c>
      <c r="AP228" s="39">
        <v>200</v>
      </c>
      <c r="AQ228" s="39">
        <v>107</v>
      </c>
      <c r="AR228" s="39">
        <v>245</v>
      </c>
      <c r="AS228" s="39">
        <v>5438.48</v>
      </c>
      <c r="AT228" s="39"/>
      <c r="AU228" s="39"/>
      <c r="AV228" s="39"/>
    </row>
    <row r="229" spans="1:48" x14ac:dyDescent="0.3">
      <c r="A229" s="5">
        <v>46006</v>
      </c>
      <c r="B229" s="3">
        <v>1203</v>
      </c>
      <c r="C229" s="12" t="s">
        <v>98</v>
      </c>
      <c r="D229" s="3"/>
      <c r="E229" s="3"/>
      <c r="F229" s="3"/>
      <c r="G229" s="3"/>
      <c r="H229" s="3"/>
      <c r="I229" s="3"/>
      <c r="J229" s="3"/>
      <c r="K229" s="3"/>
      <c r="L229" s="3"/>
      <c r="M229" s="15"/>
      <c r="N229" s="3"/>
      <c r="O229" s="15"/>
      <c r="P229" s="3"/>
      <c r="Q229" s="15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>
        <v>-8</v>
      </c>
      <c r="AN229" s="37"/>
      <c r="AO229" s="37"/>
      <c r="AP229" s="37"/>
      <c r="AQ229" s="37"/>
      <c r="AR229" s="37"/>
      <c r="AS229" s="37"/>
      <c r="AT229" s="37"/>
      <c r="AU229" s="37"/>
      <c r="AV229" s="37"/>
    </row>
    <row r="230" spans="1:48" x14ac:dyDescent="0.3">
      <c r="A230" s="5">
        <v>46006</v>
      </c>
      <c r="B230" s="3">
        <v>1204</v>
      </c>
      <c r="C230" s="4" t="s">
        <v>113</v>
      </c>
      <c r="D230" s="3"/>
      <c r="E230" s="3"/>
      <c r="F230" s="3"/>
      <c r="G230" s="3"/>
      <c r="H230" s="3"/>
      <c r="I230" s="3"/>
      <c r="J230" s="3"/>
      <c r="K230" s="3"/>
      <c r="L230" s="3"/>
      <c r="M230" s="15"/>
      <c r="N230" s="3"/>
      <c r="O230" s="15">
        <v>-13</v>
      </c>
      <c r="P230" s="3">
        <v>-288.17</v>
      </c>
      <c r="Q230" s="15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</row>
    <row r="231" spans="1:48" x14ac:dyDescent="0.3">
      <c r="A231" s="5">
        <v>46006</v>
      </c>
      <c r="B231" s="3">
        <v>1205</v>
      </c>
      <c r="C231" s="12" t="s">
        <v>40</v>
      </c>
      <c r="D231" s="3"/>
      <c r="E231" s="3"/>
      <c r="F231" s="3"/>
      <c r="G231" s="3"/>
      <c r="H231" s="3"/>
      <c r="I231" s="3">
        <v>-10</v>
      </c>
      <c r="J231" s="3"/>
      <c r="K231" s="3"/>
      <c r="L231" s="3"/>
      <c r="M231" s="15"/>
      <c r="N231" s="3"/>
      <c r="O231" s="15"/>
      <c r="P231" s="3"/>
      <c r="Q231" s="15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-120</v>
      </c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>
        <v>-5</v>
      </c>
      <c r="AN231" s="37">
        <v>-10</v>
      </c>
      <c r="AO231" s="37"/>
      <c r="AP231" s="37"/>
      <c r="AQ231" s="37"/>
      <c r="AR231" s="37"/>
      <c r="AS231" s="37"/>
      <c r="AT231" s="37"/>
      <c r="AU231" s="37"/>
      <c r="AV231" s="37"/>
    </row>
    <row r="232" spans="1:48" x14ac:dyDescent="0.3">
      <c r="A232" s="5">
        <v>46006</v>
      </c>
      <c r="B232" s="3"/>
      <c r="C232" s="12" t="s">
        <v>147</v>
      </c>
      <c r="D232" s="3"/>
      <c r="E232" s="3"/>
      <c r="F232" s="3"/>
      <c r="G232" s="3"/>
      <c r="H232" s="3"/>
      <c r="I232" s="3">
        <v>-1</v>
      </c>
      <c r="J232" s="3"/>
      <c r="K232" s="3"/>
      <c r="L232" s="3"/>
      <c r="M232" s="15"/>
      <c r="N232" s="3"/>
      <c r="O232" s="15"/>
      <c r="P232" s="3"/>
      <c r="Q232" s="15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</row>
    <row r="233" spans="1:48" x14ac:dyDescent="0.3">
      <c r="A233" s="30">
        <v>46006</v>
      </c>
      <c r="B233" s="25" t="s">
        <v>62</v>
      </c>
      <c r="C233" s="43" t="s">
        <v>133</v>
      </c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>
        <v>30</v>
      </c>
      <c r="AU233" s="39"/>
      <c r="AV233" s="39"/>
    </row>
    <row r="234" spans="1:48" x14ac:dyDescent="0.3">
      <c r="A234" s="5">
        <v>46006</v>
      </c>
      <c r="B234" s="3">
        <v>1206</v>
      </c>
      <c r="C234" s="12" t="s">
        <v>94</v>
      </c>
      <c r="D234" s="3"/>
      <c r="E234" s="3"/>
      <c r="F234" s="3"/>
      <c r="G234" s="3"/>
      <c r="H234" s="3"/>
      <c r="I234" s="3"/>
      <c r="J234" s="3"/>
      <c r="K234" s="3"/>
      <c r="L234" s="3"/>
      <c r="M234" s="15"/>
      <c r="N234" s="3"/>
      <c r="O234" s="15"/>
      <c r="P234" s="3"/>
      <c r="Q234" s="15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7"/>
      <c r="AD234" s="37"/>
      <c r="AE234" s="37">
        <v>-10</v>
      </c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>
        <v>-30</v>
      </c>
      <c r="AU234" s="37"/>
      <c r="AV234" s="37"/>
    </row>
    <row r="235" spans="1:48" x14ac:dyDescent="0.3">
      <c r="A235" s="30">
        <v>46006</v>
      </c>
      <c r="B235" s="25" t="s">
        <v>62</v>
      </c>
      <c r="C235" s="43" t="s">
        <v>141</v>
      </c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>
        <v>120</v>
      </c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</row>
    <row r="236" spans="1:48" x14ac:dyDescent="0.3">
      <c r="A236" s="5">
        <v>46007</v>
      </c>
      <c r="B236" s="3">
        <v>1207</v>
      </c>
      <c r="C236" s="4" t="s">
        <v>16</v>
      </c>
      <c r="D236" s="3"/>
      <c r="E236" s="3"/>
      <c r="F236" s="3"/>
      <c r="G236" s="3"/>
      <c r="H236" s="3"/>
      <c r="I236" s="3"/>
      <c r="J236" s="3"/>
      <c r="K236" s="3"/>
      <c r="L236" s="3"/>
      <c r="M236" s="15">
        <v>-12</v>
      </c>
      <c r="N236" s="3">
        <v>-164.58</v>
      </c>
      <c r="O236" s="15"/>
      <c r="P236" s="3"/>
      <c r="Q236" s="15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>
        <v>-5</v>
      </c>
      <c r="AN236" s="37"/>
      <c r="AO236" s="37"/>
      <c r="AP236" s="37"/>
      <c r="AQ236" s="37"/>
      <c r="AR236" s="37"/>
      <c r="AS236" s="37"/>
      <c r="AT236" s="37"/>
      <c r="AU236" s="37"/>
      <c r="AV236" s="37"/>
    </row>
    <row r="237" spans="1:48" x14ac:dyDescent="0.3">
      <c r="A237" s="5">
        <v>46007</v>
      </c>
      <c r="B237" s="3">
        <v>1208</v>
      </c>
      <c r="C237" s="4" t="s">
        <v>130</v>
      </c>
      <c r="D237" s="3"/>
      <c r="E237" s="3"/>
      <c r="F237" s="3"/>
      <c r="G237" s="3">
        <v>-130</v>
      </c>
      <c r="H237" s="3"/>
      <c r="I237" s="3"/>
      <c r="J237" s="3"/>
      <c r="K237" s="3"/>
      <c r="L237" s="3"/>
      <c r="M237" s="15"/>
      <c r="N237" s="3"/>
      <c r="O237" s="15">
        <v>-50</v>
      </c>
      <c r="P237" s="3">
        <v>-994.7</v>
      </c>
      <c r="Q237" s="15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</row>
    <row r="238" spans="1:48" x14ac:dyDescent="0.3">
      <c r="A238" s="5">
        <v>46008</v>
      </c>
      <c r="B238" s="3">
        <v>1210</v>
      </c>
      <c r="C238" s="12" t="s">
        <v>131</v>
      </c>
      <c r="D238" s="3"/>
      <c r="E238" s="3"/>
      <c r="F238" s="3"/>
      <c r="G238" s="3"/>
      <c r="H238" s="3"/>
      <c r="I238" s="3"/>
      <c r="J238" s="3"/>
      <c r="K238" s="3"/>
      <c r="L238" s="3"/>
      <c r="M238" s="15"/>
      <c r="N238" s="3"/>
      <c r="O238" s="15"/>
      <c r="P238" s="3"/>
      <c r="Q238" s="15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7"/>
      <c r="AD238" s="37"/>
      <c r="AE238" s="37"/>
      <c r="AF238" s="37"/>
      <c r="AG238" s="37"/>
      <c r="AH238" s="37"/>
      <c r="AI238" s="37"/>
      <c r="AJ238" s="37"/>
      <c r="AK238" s="37">
        <v>-5</v>
      </c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</row>
    <row r="239" spans="1:48" x14ac:dyDescent="0.3">
      <c r="A239" s="5">
        <v>46008</v>
      </c>
      <c r="B239" s="3">
        <v>1211</v>
      </c>
      <c r="C239" s="12" t="s">
        <v>60</v>
      </c>
      <c r="D239" s="3"/>
      <c r="E239" s="3"/>
      <c r="F239" s="3"/>
      <c r="G239" s="3"/>
      <c r="H239" s="3">
        <v>-8</v>
      </c>
      <c r="I239" s="3"/>
      <c r="J239" s="3"/>
      <c r="K239" s="3"/>
      <c r="L239" s="3"/>
      <c r="M239" s="15"/>
      <c r="N239" s="3"/>
      <c r="O239" s="15"/>
      <c r="P239" s="3"/>
      <c r="Q239" s="15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</row>
    <row r="240" spans="1:48" x14ac:dyDescent="0.3">
      <c r="A240" s="5">
        <v>46009</v>
      </c>
      <c r="B240" s="3">
        <v>1212</v>
      </c>
      <c r="C240" s="4" t="s">
        <v>114</v>
      </c>
      <c r="D240" s="3"/>
      <c r="E240" s="3"/>
      <c r="F240" s="3"/>
      <c r="G240" s="3"/>
      <c r="H240" s="3"/>
      <c r="I240" s="3"/>
      <c r="J240" s="3"/>
      <c r="K240" s="3"/>
      <c r="L240" s="3"/>
      <c r="M240" s="15"/>
      <c r="N240" s="3"/>
      <c r="O240" s="15"/>
      <c r="P240" s="3"/>
      <c r="Q240" s="15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7"/>
      <c r="AD240" s="37"/>
      <c r="AE240" s="37"/>
      <c r="AF240" s="37"/>
      <c r="AG240" s="37"/>
      <c r="AH240" s="37"/>
      <c r="AI240" s="37"/>
      <c r="AJ240" s="37"/>
      <c r="AK240" s="37">
        <v>-5</v>
      </c>
      <c r="AL240" s="37"/>
      <c r="AM240" s="37"/>
      <c r="AN240" s="37">
        <v>-20</v>
      </c>
      <c r="AO240" s="37"/>
      <c r="AP240" s="37"/>
      <c r="AQ240" s="37"/>
      <c r="AR240" s="37"/>
      <c r="AS240" s="37"/>
      <c r="AT240" s="37"/>
      <c r="AU240" s="37"/>
      <c r="AV240" s="37"/>
    </row>
    <row r="241" spans="1:48" x14ac:dyDescent="0.3">
      <c r="A241" s="5">
        <v>46009</v>
      </c>
      <c r="B241" s="3">
        <v>1213</v>
      </c>
      <c r="C241" s="12" t="s">
        <v>28</v>
      </c>
      <c r="D241" s="3"/>
      <c r="E241" s="3"/>
      <c r="F241" s="3"/>
      <c r="G241" s="3"/>
      <c r="H241" s="3"/>
      <c r="I241" s="3"/>
      <c r="J241" s="3"/>
      <c r="K241" s="3"/>
      <c r="L241" s="3"/>
      <c r="M241" s="15">
        <v>-5</v>
      </c>
      <c r="N241" s="3">
        <v>-26.45</v>
      </c>
      <c r="O241" s="15"/>
      <c r="P241" s="3"/>
      <c r="Q241" s="15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</row>
    <row r="242" spans="1:48" x14ac:dyDescent="0.3">
      <c r="A242" s="5">
        <v>46011</v>
      </c>
      <c r="B242" s="3">
        <v>1214</v>
      </c>
      <c r="C242" s="4" t="s">
        <v>113</v>
      </c>
      <c r="D242" s="3"/>
      <c r="E242" s="3"/>
      <c r="F242" s="3"/>
      <c r="G242" s="3"/>
      <c r="H242" s="3"/>
      <c r="I242" s="3"/>
      <c r="J242" s="3"/>
      <c r="K242" s="3"/>
      <c r="L242" s="3"/>
      <c r="M242" s="15"/>
      <c r="N242" s="3"/>
      <c r="O242" s="15">
        <v>-14</v>
      </c>
      <c r="P242" s="3">
        <v>-301.14999999999998</v>
      </c>
      <c r="Q242" s="15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</row>
    <row r="243" spans="1:48" x14ac:dyDescent="0.3">
      <c r="A243" s="5">
        <v>46011</v>
      </c>
      <c r="B243" s="3">
        <v>1215</v>
      </c>
      <c r="C243" s="12" t="s">
        <v>98</v>
      </c>
      <c r="D243" s="3"/>
      <c r="E243" s="3"/>
      <c r="F243" s="3"/>
      <c r="G243" s="3"/>
      <c r="H243" s="3"/>
      <c r="I243" s="3"/>
      <c r="J243" s="3"/>
      <c r="K243" s="3"/>
      <c r="L243" s="3"/>
      <c r="M243" s="15"/>
      <c r="N243" s="3"/>
      <c r="O243" s="15"/>
      <c r="P243" s="3"/>
      <c r="Q243" s="15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>
        <v>-8</v>
      </c>
      <c r="AN243" s="37"/>
      <c r="AO243" s="37"/>
      <c r="AP243" s="37"/>
      <c r="AQ243" s="37"/>
      <c r="AR243" s="37"/>
      <c r="AS243" s="37"/>
      <c r="AT243" s="37"/>
      <c r="AU243" s="37"/>
      <c r="AV243" s="37"/>
    </row>
    <row r="244" spans="1:48" x14ac:dyDescent="0.3">
      <c r="A244" s="5">
        <v>46011</v>
      </c>
      <c r="B244" s="3">
        <v>1216</v>
      </c>
      <c r="C244" s="12" t="s">
        <v>114</v>
      </c>
      <c r="D244" s="3"/>
      <c r="E244" s="3"/>
      <c r="F244" s="3"/>
      <c r="G244" s="3"/>
      <c r="H244" s="3"/>
      <c r="I244" s="3"/>
      <c r="J244" s="3"/>
      <c r="K244" s="3"/>
      <c r="L244" s="3"/>
      <c r="M244" s="15"/>
      <c r="N244" s="3"/>
      <c r="O244" s="15"/>
      <c r="P244" s="3"/>
      <c r="Q244" s="15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7"/>
      <c r="AD244" s="37"/>
      <c r="AE244" s="37"/>
      <c r="AF244" s="37"/>
      <c r="AG244" s="37"/>
      <c r="AH244" s="37"/>
      <c r="AI244" s="37"/>
      <c r="AJ244" s="37"/>
      <c r="AK244" s="37">
        <v>-6</v>
      </c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</row>
    <row r="245" spans="1:48" x14ac:dyDescent="0.3">
      <c r="A245" s="5">
        <v>46011</v>
      </c>
      <c r="B245" s="3">
        <v>1217</v>
      </c>
      <c r="C245" s="4" t="s">
        <v>13</v>
      </c>
      <c r="D245" s="3"/>
      <c r="E245" s="3"/>
      <c r="F245" s="3"/>
      <c r="G245" s="3"/>
      <c r="H245" s="3"/>
      <c r="I245" s="3"/>
      <c r="J245" s="3"/>
      <c r="K245" s="3"/>
      <c r="L245" s="3"/>
      <c r="M245" s="15"/>
      <c r="N245" s="3"/>
      <c r="O245" s="15"/>
      <c r="P245" s="3"/>
      <c r="Q245" s="15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>
        <v>-35</v>
      </c>
      <c r="AO245" s="37"/>
      <c r="AP245" s="37"/>
      <c r="AQ245" s="37"/>
      <c r="AR245" s="37"/>
      <c r="AS245" s="37"/>
      <c r="AT245" s="37"/>
      <c r="AU245" s="37"/>
      <c r="AV245" s="37"/>
    </row>
    <row r="246" spans="1:48" x14ac:dyDescent="0.3">
      <c r="A246" s="5">
        <v>46011</v>
      </c>
      <c r="B246" s="3">
        <v>1218</v>
      </c>
      <c r="C246" s="12" t="s">
        <v>134</v>
      </c>
      <c r="D246" s="3"/>
      <c r="E246" s="3"/>
      <c r="F246" s="3"/>
      <c r="G246" s="3"/>
      <c r="H246" s="3"/>
      <c r="I246" s="3"/>
      <c r="J246" s="3"/>
      <c r="K246" s="3"/>
      <c r="L246" s="3"/>
      <c r="M246" s="15"/>
      <c r="N246" s="3"/>
      <c r="O246" s="15"/>
      <c r="P246" s="3"/>
      <c r="Q246" s="15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7"/>
      <c r="AD246" s="37"/>
      <c r="AE246" s="37"/>
      <c r="AF246" s="37">
        <v>-10</v>
      </c>
      <c r="AG246" s="37">
        <v>-145.32</v>
      </c>
      <c r="AH246" s="37"/>
      <c r="AI246" s="37"/>
      <c r="AJ246" s="37"/>
      <c r="AK246" s="37"/>
      <c r="AL246" s="37"/>
      <c r="AM246" s="37"/>
      <c r="AN246" s="37">
        <v>-15</v>
      </c>
      <c r="AO246" s="37"/>
      <c r="AP246" s="37"/>
      <c r="AQ246" s="37"/>
      <c r="AR246" s="37"/>
      <c r="AS246" s="37"/>
      <c r="AT246" s="37"/>
      <c r="AU246" s="37"/>
      <c r="AV246" s="37"/>
    </row>
    <row r="247" spans="1:48" x14ac:dyDescent="0.3">
      <c r="A247" s="31">
        <v>46021</v>
      </c>
      <c r="B247" s="21">
        <v>1248</v>
      </c>
      <c r="C247" s="58" t="s">
        <v>148</v>
      </c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40"/>
      <c r="AD247" s="40"/>
      <c r="AE247" s="40"/>
      <c r="AF247" s="40">
        <v>9</v>
      </c>
      <c r="AG247" s="40">
        <v>131.22</v>
      </c>
      <c r="AH247" s="40"/>
      <c r="AI247" s="40"/>
      <c r="AJ247" s="40"/>
      <c r="AK247" s="40"/>
      <c r="AL247" s="40"/>
      <c r="AM247" s="40"/>
      <c r="AN247" s="40">
        <v>14</v>
      </c>
      <c r="AO247" s="37"/>
      <c r="AP247" s="37"/>
      <c r="AQ247" s="37"/>
      <c r="AR247" s="37"/>
      <c r="AS247" s="37"/>
      <c r="AT247" s="37"/>
      <c r="AU247" s="37"/>
      <c r="AV247" s="37"/>
    </row>
    <row r="248" spans="1:48" x14ac:dyDescent="0.3">
      <c r="A248" s="5">
        <v>46011</v>
      </c>
      <c r="B248" s="3">
        <v>1219</v>
      </c>
      <c r="C248" s="12" t="s">
        <v>69</v>
      </c>
      <c r="D248" s="3"/>
      <c r="E248" s="3"/>
      <c r="F248" s="3"/>
      <c r="G248" s="3"/>
      <c r="H248" s="3"/>
      <c r="I248" s="3"/>
      <c r="J248" s="3"/>
      <c r="K248" s="3"/>
      <c r="L248" s="3"/>
      <c r="M248" s="15"/>
      <c r="N248" s="3"/>
      <c r="O248" s="15"/>
      <c r="P248" s="3"/>
      <c r="Q248" s="15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>
        <v>-1</v>
      </c>
      <c r="AS248" s="37">
        <v>-21.8</v>
      </c>
      <c r="AT248" s="37"/>
      <c r="AU248" s="37"/>
      <c r="AV248" s="37"/>
    </row>
    <row r="249" spans="1:48" x14ac:dyDescent="0.3">
      <c r="A249" s="5">
        <v>46012</v>
      </c>
      <c r="B249" s="3">
        <v>1220</v>
      </c>
      <c r="C249" s="4" t="s">
        <v>113</v>
      </c>
      <c r="D249" s="3"/>
      <c r="E249" s="3"/>
      <c r="F249" s="3"/>
      <c r="G249" s="3"/>
      <c r="H249" s="3"/>
      <c r="I249" s="3"/>
      <c r="J249" s="3"/>
      <c r="K249" s="3"/>
      <c r="L249" s="3"/>
      <c r="M249" s="15"/>
      <c r="N249" s="3"/>
      <c r="O249" s="15">
        <v>-7</v>
      </c>
      <c r="P249" s="3">
        <v>-163.38999999999999</v>
      </c>
      <c r="Q249" s="15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</row>
    <row r="250" spans="1:48" x14ac:dyDescent="0.3">
      <c r="A250" s="5">
        <v>46012</v>
      </c>
      <c r="B250" s="3">
        <v>1221</v>
      </c>
      <c r="C250" s="4" t="s">
        <v>39</v>
      </c>
      <c r="D250" s="3"/>
      <c r="E250" s="3"/>
      <c r="F250" s="3"/>
      <c r="G250" s="3"/>
      <c r="H250" s="3"/>
      <c r="I250" s="3"/>
      <c r="J250" s="3"/>
      <c r="K250" s="3"/>
      <c r="L250" s="3"/>
      <c r="M250" s="15"/>
      <c r="N250" s="3"/>
      <c r="O250" s="15">
        <v>-30</v>
      </c>
      <c r="P250" s="3">
        <v>-648.33000000000004</v>
      </c>
      <c r="Q250" s="15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</row>
    <row r="251" spans="1:48" x14ac:dyDescent="0.3">
      <c r="A251" s="5">
        <v>46012</v>
      </c>
      <c r="B251" s="3">
        <v>1222</v>
      </c>
      <c r="C251" s="4" t="s">
        <v>28</v>
      </c>
      <c r="D251" s="3"/>
      <c r="E251" s="3"/>
      <c r="F251" s="3"/>
      <c r="G251" s="3"/>
      <c r="H251" s="3"/>
      <c r="I251" s="3"/>
      <c r="J251" s="3"/>
      <c r="K251" s="3"/>
      <c r="L251" s="3"/>
      <c r="M251" s="15">
        <v>-6</v>
      </c>
      <c r="N251" s="3">
        <v>-91.55</v>
      </c>
      <c r="O251" s="15"/>
      <c r="P251" s="3"/>
      <c r="Q251" s="15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</row>
    <row r="252" spans="1:48" x14ac:dyDescent="0.3">
      <c r="A252" s="30">
        <v>46012</v>
      </c>
      <c r="B252" s="25" t="s">
        <v>62</v>
      </c>
      <c r="C252" s="17" t="s">
        <v>138</v>
      </c>
      <c r="D252" s="25"/>
      <c r="E252" s="25"/>
      <c r="F252" s="25"/>
      <c r="G252" s="25">
        <v>50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</row>
    <row r="253" spans="1:48" x14ac:dyDescent="0.3">
      <c r="A253" s="30">
        <v>46012</v>
      </c>
      <c r="B253" s="25" t="s">
        <v>62</v>
      </c>
      <c r="C253" s="17" t="s">
        <v>28</v>
      </c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>
        <v>30</v>
      </c>
    </row>
    <row r="254" spans="1:48" x14ac:dyDescent="0.3">
      <c r="A254" s="55">
        <v>46012</v>
      </c>
      <c r="B254" s="25" t="s">
        <v>62</v>
      </c>
      <c r="C254" s="17" t="s">
        <v>29</v>
      </c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>
        <v>5</v>
      </c>
      <c r="AV254" s="39"/>
    </row>
    <row r="255" spans="1:48" x14ac:dyDescent="0.3">
      <c r="A255" s="55">
        <v>46012</v>
      </c>
      <c r="B255" s="25" t="s">
        <v>62</v>
      </c>
      <c r="C255" s="17" t="s">
        <v>141</v>
      </c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>
        <v>100</v>
      </c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</row>
    <row r="256" spans="1:48" x14ac:dyDescent="0.3">
      <c r="A256" s="5">
        <v>46012</v>
      </c>
      <c r="B256" s="3">
        <v>1223</v>
      </c>
      <c r="C256" s="4" t="s">
        <v>40</v>
      </c>
      <c r="D256" s="3"/>
      <c r="E256" s="3"/>
      <c r="F256" s="3"/>
      <c r="G256" s="3">
        <v>-50</v>
      </c>
      <c r="H256" s="3"/>
      <c r="I256" s="3"/>
      <c r="J256" s="3"/>
      <c r="K256" s="3"/>
      <c r="L256" s="3"/>
      <c r="M256" s="15"/>
      <c r="N256" s="3"/>
      <c r="O256" s="15">
        <v>-5</v>
      </c>
      <c r="P256" s="3">
        <v>-105.55</v>
      </c>
      <c r="Q256" s="15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-100</v>
      </c>
      <c r="AC256" s="37"/>
      <c r="AD256" s="37"/>
      <c r="AE256" s="37"/>
      <c r="AF256" s="37"/>
      <c r="AG256" s="37"/>
      <c r="AH256" s="37"/>
      <c r="AI256" s="37"/>
      <c r="AJ256" s="37"/>
      <c r="AK256" s="37">
        <v>-2</v>
      </c>
      <c r="AL256" s="37"/>
      <c r="AM256" s="37">
        <v>-5</v>
      </c>
      <c r="AN256" s="37"/>
      <c r="AO256" s="37"/>
      <c r="AP256" s="37"/>
      <c r="AQ256" s="37"/>
      <c r="AR256" s="37"/>
      <c r="AS256" s="37"/>
      <c r="AT256" s="37"/>
      <c r="AU256" s="37">
        <v>-5</v>
      </c>
      <c r="AV256" s="37">
        <v>-2</v>
      </c>
    </row>
    <row r="257" spans="1:48" x14ac:dyDescent="0.3">
      <c r="A257" s="5">
        <v>46013</v>
      </c>
      <c r="B257" s="3">
        <v>1224</v>
      </c>
      <c r="C257" s="4" t="s">
        <v>28</v>
      </c>
      <c r="D257" s="3"/>
      <c r="E257" s="3"/>
      <c r="F257" s="3"/>
      <c r="G257" s="3"/>
      <c r="H257" s="3"/>
      <c r="I257" s="3">
        <v>-100</v>
      </c>
      <c r="J257" s="3"/>
      <c r="K257" s="3"/>
      <c r="L257" s="3"/>
      <c r="M257" s="15"/>
      <c r="N257" s="3"/>
      <c r="O257" s="15"/>
      <c r="P257" s="3"/>
      <c r="Q257" s="15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</row>
    <row r="258" spans="1:48" x14ac:dyDescent="0.3">
      <c r="A258" s="5">
        <v>46015</v>
      </c>
      <c r="B258" s="3">
        <v>1226</v>
      </c>
      <c r="C258" s="4" t="s">
        <v>28</v>
      </c>
      <c r="D258" s="3"/>
      <c r="E258" s="3"/>
      <c r="F258" s="3"/>
      <c r="G258" s="3"/>
      <c r="H258" s="3"/>
      <c r="I258" s="3"/>
      <c r="J258" s="3"/>
      <c r="K258" s="3"/>
      <c r="L258" s="3"/>
      <c r="M258" s="15"/>
      <c r="N258" s="3"/>
      <c r="O258" s="15"/>
      <c r="P258" s="3"/>
      <c r="Q258" s="15"/>
      <c r="R258" s="3"/>
      <c r="S258" s="3"/>
      <c r="T258" s="3"/>
      <c r="U258" s="3"/>
      <c r="V258" s="3"/>
      <c r="W258" s="3">
        <v>-100</v>
      </c>
      <c r="X258" s="3"/>
      <c r="Y258" s="3"/>
      <c r="Z258" s="3"/>
      <c r="AA258" s="3"/>
      <c r="AB258" s="3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</row>
    <row r="259" spans="1:48" x14ac:dyDescent="0.3">
      <c r="A259" s="5">
        <v>46015</v>
      </c>
      <c r="B259" s="3">
        <v>1227</v>
      </c>
      <c r="C259" s="4" t="s">
        <v>28</v>
      </c>
      <c r="D259" s="3"/>
      <c r="E259" s="3"/>
      <c r="F259" s="3"/>
      <c r="G259" s="3"/>
      <c r="H259" s="3"/>
      <c r="I259" s="3"/>
      <c r="J259" s="3"/>
      <c r="K259" s="3"/>
      <c r="L259" s="3"/>
      <c r="M259" s="15"/>
      <c r="N259" s="3"/>
      <c r="O259" s="15"/>
      <c r="P259" s="3"/>
      <c r="Q259" s="15"/>
      <c r="R259" s="3"/>
      <c r="S259" s="3"/>
      <c r="T259" s="3"/>
      <c r="U259" s="3"/>
      <c r="V259" s="3"/>
      <c r="W259" s="3">
        <v>-20</v>
      </c>
      <c r="X259" s="3"/>
      <c r="Y259" s="3"/>
      <c r="Z259" s="3"/>
      <c r="AA259" s="3"/>
      <c r="AB259" s="3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</row>
    <row r="260" spans="1:48" x14ac:dyDescent="0.3">
      <c r="A260" s="5">
        <v>46015</v>
      </c>
      <c r="B260" s="3">
        <v>1228</v>
      </c>
      <c r="C260" s="4" t="s">
        <v>140</v>
      </c>
      <c r="D260" s="3"/>
      <c r="E260" s="3"/>
      <c r="F260" s="3"/>
      <c r="G260" s="3"/>
      <c r="H260" s="3"/>
      <c r="I260" s="3"/>
      <c r="J260" s="3"/>
      <c r="K260" s="3"/>
      <c r="L260" s="3"/>
      <c r="M260" s="15"/>
      <c r="N260" s="3"/>
      <c r="O260" s="15"/>
      <c r="P260" s="3"/>
      <c r="Q260" s="15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7"/>
      <c r="AD260" s="37"/>
      <c r="AE260" s="37">
        <v>-400</v>
      </c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</row>
    <row r="261" spans="1:48" x14ac:dyDescent="0.3">
      <c r="A261" s="30">
        <v>46015</v>
      </c>
      <c r="B261" s="25" t="s">
        <v>62</v>
      </c>
      <c r="C261" s="17" t="s">
        <v>140</v>
      </c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>
        <v>13</v>
      </c>
      <c r="P261" s="25">
        <v>302.25</v>
      </c>
      <c r="Q261" s="15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</row>
    <row r="262" spans="1:48" x14ac:dyDescent="0.3">
      <c r="A262" s="5">
        <v>46015</v>
      </c>
      <c r="B262" s="3">
        <v>1229</v>
      </c>
      <c r="C262" s="4" t="s">
        <v>113</v>
      </c>
      <c r="D262" s="3"/>
      <c r="E262" s="3"/>
      <c r="F262" s="3"/>
      <c r="G262" s="3"/>
      <c r="H262" s="3"/>
      <c r="I262" s="3"/>
      <c r="J262" s="3"/>
      <c r="K262" s="3"/>
      <c r="L262" s="3"/>
      <c r="M262" s="15"/>
      <c r="N262" s="3"/>
      <c r="O262" s="15">
        <v>-13</v>
      </c>
      <c r="P262" s="3">
        <v>-302.25</v>
      </c>
      <c r="Q262" s="15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</row>
    <row r="263" spans="1:48" x14ac:dyDescent="0.3">
      <c r="A263" s="5">
        <v>46016</v>
      </c>
      <c r="B263" s="3">
        <v>1230</v>
      </c>
      <c r="C263" s="4" t="s">
        <v>28</v>
      </c>
      <c r="D263" s="3"/>
      <c r="E263" s="3"/>
      <c r="F263" s="3"/>
      <c r="G263" s="3"/>
      <c r="H263" s="3"/>
      <c r="I263" s="3">
        <v>-150</v>
      </c>
      <c r="J263" s="3"/>
      <c r="K263" s="3"/>
      <c r="L263" s="3"/>
      <c r="M263" s="15"/>
      <c r="N263" s="3"/>
      <c r="O263" s="15"/>
      <c r="P263" s="3"/>
      <c r="Q263" s="15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7"/>
      <c r="AD263" s="37"/>
      <c r="AE263" s="37">
        <v>-15</v>
      </c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</row>
    <row r="264" spans="1:48" x14ac:dyDescent="0.3">
      <c r="A264" s="5">
        <v>46016</v>
      </c>
      <c r="B264" s="3">
        <v>1231</v>
      </c>
      <c r="C264" s="4" t="s">
        <v>142</v>
      </c>
      <c r="D264" s="3"/>
      <c r="E264" s="3"/>
      <c r="F264" s="3"/>
      <c r="G264" s="3"/>
      <c r="H264" s="3"/>
      <c r="I264" s="3"/>
      <c r="J264" s="3"/>
      <c r="K264" s="3"/>
      <c r="L264" s="3"/>
      <c r="M264" s="15"/>
      <c r="N264" s="3"/>
      <c r="O264" s="15"/>
      <c r="P264" s="3"/>
      <c r="Q264" s="15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7"/>
      <c r="AD264" s="37"/>
      <c r="AE264" s="37">
        <v>-20</v>
      </c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>
        <v>-6</v>
      </c>
      <c r="AQ264" s="37"/>
      <c r="AR264" s="37"/>
      <c r="AS264" s="37"/>
      <c r="AT264" s="37"/>
      <c r="AU264" s="37"/>
      <c r="AV264" s="37"/>
    </row>
    <row r="265" spans="1:48" x14ac:dyDescent="0.3">
      <c r="A265" s="5">
        <v>46016</v>
      </c>
      <c r="B265" s="3">
        <v>1232</v>
      </c>
      <c r="C265" s="12" t="s">
        <v>114</v>
      </c>
      <c r="D265" s="3"/>
      <c r="E265" s="3"/>
      <c r="F265" s="3"/>
      <c r="G265" s="3"/>
      <c r="H265" s="3"/>
      <c r="I265" s="3"/>
      <c r="J265" s="3"/>
      <c r="K265" s="3"/>
      <c r="L265" s="3"/>
      <c r="M265" s="15"/>
      <c r="N265" s="3"/>
      <c r="O265" s="15"/>
      <c r="P265" s="3"/>
      <c r="Q265" s="15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7"/>
      <c r="AD265" s="37"/>
      <c r="AE265" s="37"/>
      <c r="AF265" s="37"/>
      <c r="AG265" s="37"/>
      <c r="AH265" s="37"/>
      <c r="AI265" s="37"/>
      <c r="AJ265" s="37"/>
      <c r="AK265" s="37">
        <v>-6</v>
      </c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</row>
    <row r="266" spans="1:48" x14ac:dyDescent="0.3">
      <c r="A266" s="5">
        <v>46016</v>
      </c>
      <c r="B266" s="3">
        <v>1233</v>
      </c>
      <c r="C266" s="12" t="s">
        <v>73</v>
      </c>
      <c r="D266" s="3"/>
      <c r="E266" s="3"/>
      <c r="F266" s="3"/>
      <c r="G266" s="3"/>
      <c r="H266" s="3"/>
      <c r="I266" s="3"/>
      <c r="J266" s="3"/>
      <c r="K266" s="3"/>
      <c r="L266" s="3"/>
      <c r="M266" s="15"/>
      <c r="N266" s="3"/>
      <c r="O266" s="15"/>
      <c r="P266" s="3"/>
      <c r="Q266" s="15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7"/>
      <c r="AD266" s="37"/>
      <c r="AE266" s="37">
        <v>-250</v>
      </c>
      <c r="AF266" s="37"/>
      <c r="AG266" s="37"/>
      <c r="AH266" s="37"/>
      <c r="AI266" s="37"/>
      <c r="AJ266" s="37"/>
      <c r="AK266" s="37">
        <v>-8</v>
      </c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</row>
    <row r="267" spans="1:48" x14ac:dyDescent="0.3">
      <c r="A267" s="5">
        <v>46016</v>
      </c>
      <c r="B267" s="3">
        <v>1234</v>
      </c>
      <c r="C267" s="12" t="s">
        <v>143</v>
      </c>
      <c r="D267" s="3"/>
      <c r="E267" s="3"/>
      <c r="F267" s="3"/>
      <c r="G267" s="3"/>
      <c r="H267" s="3"/>
      <c r="I267" s="3"/>
      <c r="J267" s="3"/>
      <c r="K267" s="3"/>
      <c r="L267" s="3"/>
      <c r="M267" s="15">
        <v>-10</v>
      </c>
      <c r="N267" s="3">
        <v>-151.96</v>
      </c>
      <c r="O267" s="15"/>
      <c r="P267" s="3"/>
      <c r="Q267" s="15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7"/>
      <c r="AD267" s="37"/>
      <c r="AE267" s="37"/>
      <c r="AF267" s="37"/>
      <c r="AG267" s="37"/>
      <c r="AH267" s="37"/>
      <c r="AI267" s="37"/>
      <c r="AJ267" s="37"/>
      <c r="AK267" s="37">
        <v>-1</v>
      </c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</row>
    <row r="268" spans="1:48" x14ac:dyDescent="0.3">
      <c r="A268" s="30">
        <v>46016</v>
      </c>
      <c r="B268" s="25" t="s">
        <v>62</v>
      </c>
      <c r="C268" s="17" t="s">
        <v>127</v>
      </c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39"/>
      <c r="AD268" s="39"/>
      <c r="AE268" s="39"/>
      <c r="AF268" s="39"/>
      <c r="AG268" s="39"/>
      <c r="AH268" s="39">
        <v>914</v>
      </c>
      <c r="AI268" s="39">
        <v>570</v>
      </c>
      <c r="AJ268" s="39">
        <v>31</v>
      </c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</row>
    <row r="269" spans="1:48" x14ac:dyDescent="0.3">
      <c r="A269" s="5">
        <v>46019</v>
      </c>
      <c r="B269" s="3">
        <v>1235</v>
      </c>
      <c r="C269" s="12" t="s">
        <v>144</v>
      </c>
      <c r="D269" s="3"/>
      <c r="E269" s="3"/>
      <c r="F269" s="3"/>
      <c r="G269" s="3"/>
      <c r="H269" s="3"/>
      <c r="I269" s="3"/>
      <c r="J269" s="3"/>
      <c r="K269" s="3"/>
      <c r="L269" s="3"/>
      <c r="M269" s="15"/>
      <c r="N269" s="3"/>
      <c r="O269" s="15"/>
      <c r="P269" s="3"/>
      <c r="Q269" s="15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7"/>
      <c r="AD269" s="37"/>
      <c r="AE269" s="37"/>
      <c r="AF269" s="37"/>
      <c r="AG269" s="37"/>
      <c r="AH269" s="37"/>
      <c r="AI269" s="37"/>
      <c r="AJ269" s="37"/>
      <c r="AK269" s="37">
        <v>-1</v>
      </c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</row>
    <row r="270" spans="1:48" x14ac:dyDescent="0.3">
      <c r="A270" s="5">
        <v>46019</v>
      </c>
      <c r="B270" s="3">
        <v>1238</v>
      </c>
      <c r="C270" s="4" t="s">
        <v>140</v>
      </c>
      <c r="D270" s="3"/>
      <c r="E270" s="3"/>
      <c r="F270" s="3"/>
      <c r="G270" s="3"/>
      <c r="H270" s="3"/>
      <c r="I270" s="3"/>
      <c r="J270" s="3"/>
      <c r="K270" s="3"/>
      <c r="L270" s="3"/>
      <c r="M270" s="15"/>
      <c r="N270" s="3"/>
      <c r="O270" s="15"/>
      <c r="P270" s="3"/>
      <c r="Q270" s="15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>
        <v>-75</v>
      </c>
      <c r="AQ270" s="37"/>
      <c r="AR270" s="37"/>
      <c r="AS270" s="37"/>
      <c r="AT270" s="37"/>
      <c r="AU270" s="37"/>
      <c r="AV270" s="37">
        <v>-28</v>
      </c>
    </row>
    <row r="271" spans="1:48" x14ac:dyDescent="0.3">
      <c r="A271" s="30">
        <v>46019</v>
      </c>
      <c r="B271" s="25" t="s">
        <v>62</v>
      </c>
      <c r="C271" s="17" t="s">
        <v>140</v>
      </c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>
        <v>17</v>
      </c>
      <c r="P271" s="25">
        <v>373.88</v>
      </c>
      <c r="Q271" s="15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</row>
    <row r="272" spans="1:48" x14ac:dyDescent="0.3">
      <c r="A272" s="5">
        <v>46019</v>
      </c>
      <c r="B272" s="3">
        <v>1239</v>
      </c>
      <c r="C272" s="4" t="s">
        <v>113</v>
      </c>
      <c r="D272" s="3"/>
      <c r="E272" s="3"/>
      <c r="F272" s="3"/>
      <c r="G272" s="3"/>
      <c r="H272" s="3"/>
      <c r="I272" s="3">
        <v>-2</v>
      </c>
      <c r="J272" s="3"/>
      <c r="K272" s="3"/>
      <c r="L272" s="3"/>
      <c r="M272" s="15"/>
      <c r="N272" s="3"/>
      <c r="O272" s="15">
        <v>-17</v>
      </c>
      <c r="P272" s="3">
        <v>-373.88</v>
      </c>
      <c r="Q272" s="15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</row>
    <row r="273" spans="1:48" x14ac:dyDescent="0.3">
      <c r="A273" s="30">
        <v>46020</v>
      </c>
      <c r="B273" s="25" t="s">
        <v>62</v>
      </c>
      <c r="C273" s="17" t="s">
        <v>141</v>
      </c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>
        <v>25</v>
      </c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</row>
    <row r="274" spans="1:48" x14ac:dyDescent="0.3">
      <c r="A274" s="5">
        <v>46020</v>
      </c>
      <c r="B274" s="3">
        <v>1241</v>
      </c>
      <c r="C274" s="4" t="s">
        <v>19</v>
      </c>
      <c r="D274" s="3"/>
      <c r="E274" s="3"/>
      <c r="F274" s="3"/>
      <c r="G274" s="3"/>
      <c r="H274" s="3"/>
      <c r="I274" s="3"/>
      <c r="J274" s="3"/>
      <c r="K274" s="3"/>
      <c r="L274" s="3"/>
      <c r="M274" s="15"/>
      <c r="N274" s="3"/>
      <c r="O274" s="15"/>
      <c r="P274" s="3"/>
      <c r="Q274" s="15"/>
      <c r="R274" s="3"/>
      <c r="S274" s="3"/>
      <c r="T274" s="3"/>
      <c r="U274" s="3"/>
      <c r="V274" s="3"/>
      <c r="W274" s="3">
        <v>-10</v>
      </c>
      <c r="X274" s="3"/>
      <c r="Y274" s="3"/>
      <c r="Z274" s="3"/>
      <c r="AA274" s="3"/>
      <c r="AB274" s="3"/>
      <c r="AC274" s="37"/>
      <c r="AD274" s="37"/>
      <c r="AE274" s="37"/>
      <c r="AF274" s="37"/>
      <c r="AG274" s="37"/>
      <c r="AH274" s="37">
        <v>-100</v>
      </c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</row>
    <row r="275" spans="1:48" x14ac:dyDescent="0.3">
      <c r="A275" s="5">
        <v>46020</v>
      </c>
      <c r="B275" s="3">
        <v>1243</v>
      </c>
      <c r="C275" s="4" t="s">
        <v>145</v>
      </c>
      <c r="D275" s="3"/>
      <c r="E275" s="3"/>
      <c r="F275" s="3"/>
      <c r="G275" s="3"/>
      <c r="H275" s="3"/>
      <c r="I275" s="3"/>
      <c r="J275" s="3"/>
      <c r="K275" s="3"/>
      <c r="L275" s="3"/>
      <c r="M275" s="15"/>
      <c r="N275" s="3"/>
      <c r="O275" s="15"/>
      <c r="P275" s="3"/>
      <c r="Q275" s="15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>
        <v>-50</v>
      </c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</row>
    <row r="276" spans="1:48" x14ac:dyDescent="0.3">
      <c r="A276" s="30">
        <v>46020</v>
      </c>
      <c r="B276" s="25" t="s">
        <v>62</v>
      </c>
      <c r="C276" s="17" t="s">
        <v>140</v>
      </c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>
        <v>8</v>
      </c>
      <c r="P276" s="25">
        <v>188.39</v>
      </c>
      <c r="Q276" s="15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</row>
    <row r="277" spans="1:48" x14ac:dyDescent="0.3">
      <c r="A277" s="30">
        <v>46020</v>
      </c>
      <c r="B277" s="25" t="s">
        <v>62</v>
      </c>
      <c r="C277" s="43" t="s">
        <v>72</v>
      </c>
      <c r="D277" s="25"/>
      <c r="E277" s="25"/>
      <c r="F277" s="25"/>
      <c r="G277" s="25">
        <v>200</v>
      </c>
      <c r="H277" s="25"/>
      <c r="I277" s="25"/>
      <c r="J277" s="25"/>
      <c r="K277" s="25"/>
      <c r="L277" s="25"/>
      <c r="M277" s="25"/>
      <c r="N277" s="25"/>
      <c r="O277" s="25"/>
      <c r="P277" s="25"/>
      <c r="Q277" s="15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</row>
    <row r="278" spans="1:48" x14ac:dyDescent="0.3">
      <c r="A278" s="5">
        <v>46020</v>
      </c>
      <c r="B278" s="3">
        <v>1244</v>
      </c>
      <c r="C278" s="12" t="s">
        <v>100</v>
      </c>
      <c r="D278" s="3"/>
      <c r="E278" s="3"/>
      <c r="F278" s="3"/>
      <c r="G278" s="3">
        <v>-200</v>
      </c>
      <c r="H278" s="3"/>
      <c r="I278" s="3"/>
      <c r="J278" s="3"/>
      <c r="K278" s="3"/>
      <c r="L278" s="3"/>
      <c r="M278" s="15"/>
      <c r="N278" s="3"/>
      <c r="O278" s="15"/>
      <c r="P278" s="3"/>
      <c r="Q278" s="15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</row>
    <row r="279" spans="1:48" x14ac:dyDescent="0.3">
      <c r="A279" s="5">
        <v>46020</v>
      </c>
      <c r="B279" s="3">
        <v>1245</v>
      </c>
      <c r="C279" s="4" t="s">
        <v>113</v>
      </c>
      <c r="D279" s="3"/>
      <c r="E279" s="3"/>
      <c r="F279" s="3"/>
      <c r="G279" s="3"/>
      <c r="H279" s="3"/>
      <c r="I279" s="3"/>
      <c r="J279" s="3"/>
      <c r="K279" s="3"/>
      <c r="L279" s="3"/>
      <c r="M279" s="15"/>
      <c r="N279" s="3"/>
      <c r="O279" s="15">
        <v>-8</v>
      </c>
      <c r="P279" s="3">
        <v>-188.39</v>
      </c>
      <c r="Q279" s="15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</row>
    <row r="280" spans="1:48" x14ac:dyDescent="0.3">
      <c r="A280" s="5">
        <v>46020</v>
      </c>
      <c r="B280" s="3">
        <v>1246</v>
      </c>
      <c r="C280" s="12" t="s">
        <v>142</v>
      </c>
      <c r="D280" s="3"/>
      <c r="E280" s="3"/>
      <c r="F280" s="3"/>
      <c r="G280" s="3"/>
      <c r="H280" s="3"/>
      <c r="I280" s="3"/>
      <c r="J280" s="3"/>
      <c r="K280" s="3"/>
      <c r="L280" s="3"/>
      <c r="M280" s="15"/>
      <c r="N280" s="3"/>
      <c r="O280" s="15"/>
      <c r="P280" s="3"/>
      <c r="Q280" s="15"/>
      <c r="R280" s="3"/>
      <c r="S280" s="3"/>
      <c r="T280" s="3"/>
      <c r="U280" s="3"/>
      <c r="V280" s="3"/>
      <c r="W280" s="3">
        <v>-10</v>
      </c>
      <c r="X280" s="3"/>
      <c r="Y280" s="3"/>
      <c r="Z280" s="3"/>
      <c r="AA280" s="3"/>
      <c r="AB280" s="3"/>
      <c r="AC280" s="37"/>
      <c r="AD280" s="37"/>
      <c r="AE280" s="37">
        <v>-30</v>
      </c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</row>
    <row r="281" spans="1:48" x14ac:dyDescent="0.3">
      <c r="A281" s="5">
        <v>46020</v>
      </c>
      <c r="B281" s="3">
        <v>1247</v>
      </c>
      <c r="C281" s="12" t="s">
        <v>94</v>
      </c>
      <c r="D281" s="3"/>
      <c r="E281" s="3"/>
      <c r="F281" s="3"/>
      <c r="G281" s="3"/>
      <c r="H281" s="3"/>
      <c r="I281" s="3">
        <v>-15</v>
      </c>
      <c r="J281" s="3"/>
      <c r="K281" s="3"/>
      <c r="L281" s="3"/>
      <c r="M281" s="15"/>
      <c r="N281" s="3"/>
      <c r="O281" s="15"/>
      <c r="P281" s="3"/>
      <c r="Q281" s="15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-25</v>
      </c>
      <c r="AC281" s="37"/>
      <c r="AD281" s="37"/>
      <c r="AE281" s="37">
        <v>-5</v>
      </c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</row>
    <row r="282" spans="1:48" x14ac:dyDescent="0.3">
      <c r="A282" s="30">
        <v>46021</v>
      </c>
      <c r="B282" s="25" t="s">
        <v>62</v>
      </c>
      <c r="C282" s="17" t="s">
        <v>140</v>
      </c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>
        <v>18</v>
      </c>
      <c r="P282" s="25">
        <v>435.04</v>
      </c>
      <c r="Q282" s="15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</row>
    <row r="283" spans="1:48" x14ac:dyDescent="0.3">
      <c r="A283" s="5">
        <v>46021</v>
      </c>
      <c r="B283" s="3">
        <v>1249</v>
      </c>
      <c r="C283" s="4" t="s">
        <v>113</v>
      </c>
      <c r="D283" s="3"/>
      <c r="E283" s="3"/>
      <c r="F283" s="3"/>
      <c r="G283" s="3"/>
      <c r="H283" s="3"/>
      <c r="I283" s="3">
        <v>-2</v>
      </c>
      <c r="J283" s="3"/>
      <c r="K283" s="3"/>
      <c r="L283" s="3"/>
      <c r="M283" s="15"/>
      <c r="N283" s="3"/>
      <c r="O283" s="15">
        <v>-18</v>
      </c>
      <c r="P283" s="3">
        <v>-435.04</v>
      </c>
      <c r="Q283" s="15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</row>
    <row r="284" spans="1:48" x14ac:dyDescent="0.3">
      <c r="A284" s="5">
        <v>46021</v>
      </c>
      <c r="B284" s="3">
        <v>1250</v>
      </c>
      <c r="C284" s="4" t="s">
        <v>117</v>
      </c>
      <c r="D284" s="3"/>
      <c r="E284" s="3"/>
      <c r="F284" s="3"/>
      <c r="G284" s="3"/>
      <c r="H284" s="3"/>
      <c r="I284" s="3"/>
      <c r="J284" s="3"/>
      <c r="K284" s="3"/>
      <c r="L284" s="3"/>
      <c r="M284" s="15"/>
      <c r="N284" s="3"/>
      <c r="O284" s="15"/>
      <c r="P284" s="3"/>
      <c r="Q284" s="15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7"/>
      <c r="AD284" s="37"/>
      <c r="AE284" s="37">
        <v>-150</v>
      </c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</row>
    <row r="285" spans="1:48" x14ac:dyDescent="0.3">
      <c r="A285" s="30">
        <v>46021</v>
      </c>
      <c r="B285" s="25" t="s">
        <v>62</v>
      </c>
      <c r="C285" s="43" t="s">
        <v>16</v>
      </c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>
        <v>10</v>
      </c>
    </row>
    <row r="286" spans="1:48" x14ac:dyDescent="0.3">
      <c r="A286" s="5">
        <v>46021</v>
      </c>
      <c r="B286" s="3">
        <v>1251</v>
      </c>
      <c r="C286" s="12" t="s">
        <v>94</v>
      </c>
      <c r="D286" s="3"/>
      <c r="E286" s="3"/>
      <c r="F286" s="3"/>
      <c r="G286" s="3"/>
      <c r="H286" s="3"/>
      <c r="I286" s="3"/>
      <c r="J286" s="3"/>
      <c r="K286" s="3"/>
      <c r="L286" s="3"/>
      <c r="M286" s="15"/>
      <c r="N286" s="3"/>
      <c r="O286" s="15"/>
      <c r="P286" s="3"/>
      <c r="Q286" s="15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>
        <v>-10</v>
      </c>
    </row>
    <row r="287" spans="1:48" x14ac:dyDescent="0.3">
      <c r="A287" s="5">
        <v>46022</v>
      </c>
      <c r="B287" s="3">
        <v>1252</v>
      </c>
      <c r="C287" s="4" t="s">
        <v>45</v>
      </c>
      <c r="D287" s="3"/>
      <c r="E287" s="3"/>
      <c r="F287" s="3"/>
      <c r="G287" s="3"/>
      <c r="H287" s="3"/>
      <c r="I287" s="3"/>
      <c r="J287" s="3"/>
      <c r="K287" s="3"/>
      <c r="L287" s="3"/>
      <c r="M287" s="15"/>
      <c r="N287" s="3"/>
      <c r="O287" s="15"/>
      <c r="P287" s="3"/>
      <c r="Q287" s="15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7"/>
      <c r="AD287" s="37"/>
      <c r="AE287" s="37"/>
      <c r="AF287" s="37"/>
      <c r="AG287" s="37"/>
      <c r="AH287" s="37">
        <v>-500</v>
      </c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</row>
    <row r="288" spans="1:48" x14ac:dyDescent="0.3">
      <c r="A288" s="5">
        <v>46022</v>
      </c>
      <c r="B288" s="3">
        <v>1253</v>
      </c>
      <c r="C288" s="4" t="s">
        <v>59</v>
      </c>
      <c r="D288" s="3"/>
      <c r="E288" s="3"/>
      <c r="F288" s="3"/>
      <c r="G288" s="3"/>
      <c r="H288" s="3"/>
      <c r="I288" s="3"/>
      <c r="J288" s="3"/>
      <c r="K288" s="3"/>
      <c r="L288" s="3"/>
      <c r="M288" s="15"/>
      <c r="N288" s="3"/>
      <c r="O288" s="15"/>
      <c r="P288" s="3"/>
      <c r="Q288" s="15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>
        <v>-1</v>
      </c>
      <c r="AO288" s="37"/>
      <c r="AP288" s="37"/>
      <c r="AQ288" s="37"/>
      <c r="AR288" s="37"/>
      <c r="AS288" s="37"/>
      <c r="AT288" s="37"/>
      <c r="AU288" s="37"/>
      <c r="AV288" s="37"/>
    </row>
    <row r="289" spans="1:48" x14ac:dyDescent="0.3">
      <c r="A289" s="5">
        <v>46022</v>
      </c>
      <c r="B289" s="3">
        <v>1254</v>
      </c>
      <c r="C289" s="4" t="s">
        <v>113</v>
      </c>
      <c r="D289" s="3"/>
      <c r="E289" s="3"/>
      <c r="F289" s="3"/>
      <c r="G289" s="3"/>
      <c r="H289" s="3"/>
      <c r="I289" s="3">
        <v>-3</v>
      </c>
      <c r="J289" s="3"/>
      <c r="K289" s="3"/>
      <c r="L289" s="3"/>
      <c r="M289" s="15"/>
      <c r="N289" s="3"/>
      <c r="O289" s="15">
        <v>-4</v>
      </c>
      <c r="P289" s="3">
        <v>-100.52</v>
      </c>
      <c r="Q289" s="15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</row>
    <row r="290" spans="1:48" x14ac:dyDescent="0.3">
      <c r="A290" s="5">
        <v>46022</v>
      </c>
      <c r="B290" s="3">
        <v>1255</v>
      </c>
      <c r="C290" s="12" t="s">
        <v>149</v>
      </c>
      <c r="D290" s="3"/>
      <c r="E290" s="3"/>
      <c r="F290" s="3"/>
      <c r="G290" s="3"/>
      <c r="H290" s="3"/>
      <c r="I290" s="3">
        <v>-100</v>
      </c>
      <c r="J290" s="3"/>
      <c r="K290" s="3"/>
      <c r="L290" s="3"/>
      <c r="M290" s="15"/>
      <c r="N290" s="3"/>
      <c r="O290" s="15"/>
      <c r="P290" s="3"/>
      <c r="Q290" s="15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</row>
    <row r="291" spans="1:48" x14ac:dyDescent="0.3">
      <c r="A291" s="5">
        <v>46022</v>
      </c>
      <c r="B291" s="3">
        <v>1256</v>
      </c>
      <c r="C291" s="4" t="s">
        <v>54</v>
      </c>
      <c r="D291" s="3"/>
      <c r="E291" s="3"/>
      <c r="F291" s="3"/>
      <c r="G291" s="3"/>
      <c r="H291" s="3"/>
      <c r="I291" s="3"/>
      <c r="J291" s="3"/>
      <c r="K291" s="3"/>
      <c r="L291" s="3"/>
      <c r="M291" s="15"/>
      <c r="N291" s="3"/>
      <c r="O291" s="15">
        <v>-10</v>
      </c>
      <c r="P291" s="3">
        <v>-228.1</v>
      </c>
      <c r="Q291" s="15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</row>
    <row r="292" spans="1:48" x14ac:dyDescent="0.3">
      <c r="A292" s="30">
        <v>46022</v>
      </c>
      <c r="B292" s="25" t="s">
        <v>62</v>
      </c>
      <c r="C292" s="17" t="s">
        <v>117</v>
      </c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>
        <v>14</v>
      </c>
      <c r="P292" s="25">
        <v>328.62</v>
      </c>
      <c r="Q292" s="15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</row>
    <row r="293" spans="1:48" x14ac:dyDescent="0.3">
      <c r="A293" s="5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15"/>
      <c r="N293" s="3"/>
      <c r="O293" s="15"/>
      <c r="P293" s="3"/>
      <c r="Q293" s="15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</row>
    <row r="294" spans="1:48" x14ac:dyDescent="0.3">
      <c r="A294" s="5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15"/>
      <c r="N294" s="3"/>
      <c r="O294" s="15"/>
      <c r="P294" s="3"/>
      <c r="Q294" s="15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</row>
    <row r="295" spans="1:48" x14ac:dyDescent="0.3">
      <c r="A295" s="5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15"/>
      <c r="N295" s="3"/>
      <c r="O295" s="15"/>
      <c r="P295" s="3"/>
      <c r="Q295" s="15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</row>
    <row r="296" spans="1:48" x14ac:dyDescent="0.3">
      <c r="A296" s="56"/>
      <c r="B296" s="26"/>
      <c r="C296" s="57" t="s">
        <v>139</v>
      </c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>
        <v>1</v>
      </c>
      <c r="P296" s="26">
        <v>19.5</v>
      </c>
      <c r="Q296" s="15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</row>
    <row r="297" spans="1:48" x14ac:dyDescent="0.3">
      <c r="A297" s="8"/>
      <c r="B297" s="2"/>
      <c r="C297" s="2" t="s">
        <v>22</v>
      </c>
      <c r="D297" s="2">
        <f t="shared" ref="D297:AE297" si="0">SUM(D4:D296)</f>
        <v>0</v>
      </c>
      <c r="E297" s="2">
        <f t="shared" si="0"/>
        <v>0</v>
      </c>
      <c r="F297" s="2">
        <f t="shared" si="0"/>
        <v>0</v>
      </c>
      <c r="G297" s="2">
        <f t="shared" si="0"/>
        <v>0</v>
      </c>
      <c r="H297" s="2">
        <f t="shared" si="0"/>
        <v>0</v>
      </c>
      <c r="I297" s="2">
        <f t="shared" si="0"/>
        <v>1259</v>
      </c>
      <c r="J297" s="2">
        <f t="shared" si="0"/>
        <v>0</v>
      </c>
      <c r="K297" s="2">
        <f t="shared" si="0"/>
        <v>36</v>
      </c>
      <c r="L297" s="2">
        <f t="shared" si="0"/>
        <v>0</v>
      </c>
      <c r="M297" s="15">
        <f t="shared" si="0"/>
        <v>10</v>
      </c>
      <c r="N297" s="2">
        <f t="shared" si="0"/>
        <v>183.03000000000011</v>
      </c>
      <c r="O297" s="15">
        <f t="shared" si="0"/>
        <v>0</v>
      </c>
      <c r="P297" s="2">
        <f t="shared" si="0"/>
        <v>9.9999999991382538E-3</v>
      </c>
      <c r="Q297" s="15">
        <f t="shared" si="0"/>
        <v>0</v>
      </c>
      <c r="R297" s="2">
        <f t="shared" si="0"/>
        <v>0</v>
      </c>
      <c r="S297" s="2">
        <f t="shared" si="0"/>
        <v>0</v>
      </c>
      <c r="T297" s="2">
        <f t="shared" si="0"/>
        <v>0</v>
      </c>
      <c r="U297" s="2">
        <f t="shared" si="0"/>
        <v>0</v>
      </c>
      <c r="V297" s="2">
        <f t="shared" si="0"/>
        <v>99</v>
      </c>
      <c r="W297" s="2">
        <f t="shared" si="0"/>
        <v>54</v>
      </c>
      <c r="X297" s="2">
        <f t="shared" si="0"/>
        <v>0</v>
      </c>
      <c r="Y297" s="2">
        <f t="shared" si="0"/>
        <v>0</v>
      </c>
      <c r="Z297" s="2">
        <f t="shared" si="0"/>
        <v>-90</v>
      </c>
      <c r="AA297" s="2">
        <f t="shared" si="0"/>
        <v>-80</v>
      </c>
      <c r="AB297" s="2">
        <f t="shared" si="0"/>
        <v>0</v>
      </c>
      <c r="AC297" s="41">
        <f t="shared" si="0"/>
        <v>0</v>
      </c>
      <c r="AD297" s="41">
        <f t="shared" si="0"/>
        <v>0</v>
      </c>
      <c r="AE297" s="41">
        <f t="shared" si="0"/>
        <v>334</v>
      </c>
      <c r="AF297" s="41">
        <f t="shared" ref="AF297:AM297" si="1">SUM(AF4:AF296)</f>
        <v>306</v>
      </c>
      <c r="AG297" s="41">
        <f t="shared" si="1"/>
        <v>4997.2700000000004</v>
      </c>
      <c r="AH297" s="41">
        <f t="shared" si="1"/>
        <v>314</v>
      </c>
      <c r="AI297" s="41">
        <f t="shared" si="1"/>
        <v>570</v>
      </c>
      <c r="AJ297" s="41">
        <f t="shared" si="1"/>
        <v>31</v>
      </c>
      <c r="AK297" s="41">
        <f t="shared" si="1"/>
        <v>6</v>
      </c>
      <c r="AL297" s="41">
        <f t="shared" si="1"/>
        <v>380</v>
      </c>
      <c r="AM297" s="41">
        <f t="shared" si="1"/>
        <v>357</v>
      </c>
      <c r="AN297" s="41">
        <f t="shared" ref="AN297:AV297" si="2">SUM(AN4:AN296)</f>
        <v>363</v>
      </c>
      <c r="AO297" s="41">
        <f t="shared" si="2"/>
        <v>333</v>
      </c>
      <c r="AP297" s="41">
        <f t="shared" si="2"/>
        <v>479</v>
      </c>
      <c r="AQ297" s="41">
        <f t="shared" si="2"/>
        <v>333</v>
      </c>
      <c r="AR297" s="41">
        <f t="shared" si="2"/>
        <v>244</v>
      </c>
      <c r="AS297" s="41">
        <f t="shared" si="2"/>
        <v>5416.6799999999994</v>
      </c>
      <c r="AT297" s="41">
        <f t="shared" si="2"/>
        <v>0</v>
      </c>
      <c r="AU297" s="41">
        <f t="shared" si="2"/>
        <v>0</v>
      </c>
      <c r="AV297" s="41">
        <f t="shared" si="2"/>
        <v>0</v>
      </c>
    </row>
    <row r="298" spans="1:48" x14ac:dyDescent="0.3">
      <c r="B298" s="63" t="s">
        <v>27</v>
      </c>
      <c r="C298" s="63"/>
      <c r="D298" s="10">
        <v>160</v>
      </c>
      <c r="E298" s="10">
        <v>162</v>
      </c>
      <c r="F298" s="10"/>
      <c r="G298" s="10">
        <v>162.5</v>
      </c>
      <c r="H298" s="10">
        <v>277</v>
      </c>
      <c r="I298" s="10">
        <v>161</v>
      </c>
      <c r="J298" s="10">
        <v>190</v>
      </c>
      <c r="K298" s="10">
        <v>325</v>
      </c>
      <c r="L298" s="10">
        <v>630</v>
      </c>
      <c r="M298" s="10"/>
      <c r="N298" s="10">
        <v>44</v>
      </c>
      <c r="O298" s="10"/>
      <c r="P298" s="10">
        <v>23.5</v>
      </c>
      <c r="Q298" s="10"/>
      <c r="R298" s="10"/>
      <c r="S298" s="10"/>
      <c r="T298" s="10"/>
      <c r="U298" s="10"/>
      <c r="V298" s="10">
        <v>397</v>
      </c>
      <c r="W298" s="10">
        <v>397</v>
      </c>
      <c r="X298" s="10">
        <v>397</v>
      </c>
      <c r="Y298" s="10">
        <v>397</v>
      </c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x14ac:dyDescent="0.3">
      <c r="C299" t="s">
        <v>25</v>
      </c>
      <c r="D299" s="11">
        <f>D297*D298</f>
        <v>0</v>
      </c>
      <c r="E299" s="11">
        <f t="shared" ref="E299:P299" si="3">E297*E298</f>
        <v>0</v>
      </c>
      <c r="F299" s="11"/>
      <c r="G299" s="11"/>
      <c r="H299" s="11">
        <f t="shared" si="3"/>
        <v>0</v>
      </c>
      <c r="I299" s="11">
        <f t="shared" si="3"/>
        <v>202699</v>
      </c>
      <c r="J299" s="11">
        <f t="shared" si="3"/>
        <v>0</v>
      </c>
      <c r="K299" s="11">
        <f t="shared" si="3"/>
        <v>11700</v>
      </c>
      <c r="L299" s="11">
        <f t="shared" si="3"/>
        <v>0</v>
      </c>
      <c r="M299" s="11"/>
      <c r="N299" s="11">
        <f t="shared" si="3"/>
        <v>8053.3200000000052</v>
      </c>
      <c r="O299" s="11"/>
      <c r="P299" s="11">
        <f t="shared" si="3"/>
        <v>0.23499999997974896</v>
      </c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</row>
    <row r="300" spans="1:48" x14ac:dyDescent="0.3">
      <c r="C300" t="s">
        <v>32</v>
      </c>
      <c r="D300">
        <f>SUBTOTAL(9,D5:D296)</f>
        <v>-1000</v>
      </c>
      <c r="E300">
        <f>SUM(E5:E296)</f>
        <v>-2000</v>
      </c>
      <c r="F300">
        <v>-2400</v>
      </c>
      <c r="G300">
        <v>-555</v>
      </c>
      <c r="H300">
        <f>SUM(H5:H296)</f>
        <v>-1502</v>
      </c>
      <c r="I300">
        <f>SUM(I5:I296)</f>
        <v>-1169</v>
      </c>
      <c r="J300">
        <f>SUM(J5:J296)</f>
        <v>-100</v>
      </c>
      <c r="K300">
        <f>SUM(K5:K296)</f>
        <v>-533</v>
      </c>
      <c r="L300">
        <f>SUM(L5:L296)</f>
        <v>-30</v>
      </c>
      <c r="N300">
        <f>SUM(N5:N296)</f>
        <v>-4491.8999999999996</v>
      </c>
      <c r="P300">
        <f>SUM(P5:P296)</f>
        <v>-25082.670000000002</v>
      </c>
    </row>
    <row r="301" spans="1:48" x14ac:dyDescent="0.3">
      <c r="E301" t="s">
        <v>91</v>
      </c>
      <c r="F301">
        <v>500</v>
      </c>
    </row>
    <row r="302" spans="1:48" x14ac:dyDescent="0.3">
      <c r="E302" t="s">
        <v>90</v>
      </c>
      <c r="F302">
        <v>500</v>
      </c>
    </row>
    <row r="303" spans="1:48" x14ac:dyDescent="0.3">
      <c r="E303" s="45">
        <v>45759</v>
      </c>
      <c r="F303">
        <v>500</v>
      </c>
    </row>
    <row r="304" spans="1:48" x14ac:dyDescent="0.3">
      <c r="E304" s="47">
        <v>45973</v>
      </c>
      <c r="F304">
        <v>500</v>
      </c>
    </row>
    <row r="305" spans="3:7" x14ac:dyDescent="0.3">
      <c r="E305" t="s">
        <v>129</v>
      </c>
      <c r="F305">
        <v>400</v>
      </c>
    </row>
    <row r="306" spans="3:7" x14ac:dyDescent="0.3">
      <c r="F306">
        <f>SUBTOTAL(9,F300:F305)</f>
        <v>0</v>
      </c>
      <c r="G306" t="s">
        <v>92</v>
      </c>
    </row>
    <row r="307" spans="3:7" ht="18" x14ac:dyDescent="0.35">
      <c r="C307" s="61" t="s">
        <v>105</v>
      </c>
      <c r="D307" s="61"/>
      <c r="E307" s="44" t="s">
        <v>150</v>
      </c>
      <c r="F307" s="24"/>
      <c r="G307" s="24"/>
    </row>
    <row r="308" spans="3:7" ht="18" x14ac:dyDescent="0.35">
      <c r="C308" s="34" t="s">
        <v>55</v>
      </c>
      <c r="D308" s="34" t="s">
        <v>56</v>
      </c>
      <c r="E308" s="34" t="s">
        <v>57</v>
      </c>
      <c r="F308" s="49" t="s">
        <v>125</v>
      </c>
      <c r="G308" s="49" t="s">
        <v>126</v>
      </c>
    </row>
    <row r="309" spans="3:7" ht="18" x14ac:dyDescent="0.35">
      <c r="C309" s="35" t="s">
        <v>0</v>
      </c>
      <c r="D309" s="33">
        <f>G297</f>
        <v>0</v>
      </c>
      <c r="E309" s="33"/>
      <c r="F309" s="50"/>
      <c r="G309" s="51"/>
    </row>
    <row r="310" spans="3:7" ht="18" x14ac:dyDescent="0.35">
      <c r="C310" s="35" t="s">
        <v>3</v>
      </c>
      <c r="D310" s="33">
        <f>H297</f>
        <v>0</v>
      </c>
      <c r="E310" s="33"/>
      <c r="F310" s="50"/>
      <c r="G310" s="51"/>
    </row>
    <row r="311" spans="3:7" ht="18" x14ac:dyDescent="0.35">
      <c r="C311" s="35" t="s">
        <v>1</v>
      </c>
      <c r="D311" s="33">
        <f>I297</f>
        <v>1259</v>
      </c>
      <c r="E311" s="33"/>
      <c r="F311" s="50"/>
      <c r="G311" s="51"/>
    </row>
    <row r="312" spans="3:7" ht="18" x14ac:dyDescent="0.35">
      <c r="C312" s="35" t="s">
        <v>84</v>
      </c>
      <c r="D312" s="53">
        <f>K297</f>
        <v>36</v>
      </c>
      <c r="E312" s="33"/>
      <c r="F312" s="50"/>
      <c r="G312" s="51"/>
    </row>
    <row r="313" spans="3:7" ht="18" x14ac:dyDescent="0.35">
      <c r="C313" s="35" t="s">
        <v>6</v>
      </c>
      <c r="D313" s="53">
        <f>M297</f>
        <v>10</v>
      </c>
      <c r="E313" s="33">
        <f>N297</f>
        <v>183.03000000000011</v>
      </c>
      <c r="F313" s="50"/>
      <c r="G313" s="51"/>
    </row>
    <row r="314" spans="3:7" ht="18" x14ac:dyDescent="0.35">
      <c r="C314" s="35" t="s">
        <v>26</v>
      </c>
      <c r="D314" s="33">
        <f>O297+Q297</f>
        <v>0</v>
      </c>
      <c r="E314" s="33">
        <f>P297</f>
        <v>9.9999999991382538E-3</v>
      </c>
      <c r="F314" s="50"/>
      <c r="G314" s="51"/>
    </row>
    <row r="315" spans="3:7" ht="18" x14ac:dyDescent="0.35">
      <c r="C315" s="35" t="s">
        <v>64</v>
      </c>
      <c r="D315" s="53">
        <f>V297</f>
        <v>99</v>
      </c>
      <c r="E315" s="33"/>
      <c r="F315" s="50"/>
      <c r="G315" s="51"/>
    </row>
    <row r="316" spans="3:7" ht="18" x14ac:dyDescent="0.35">
      <c r="C316" s="35" t="s">
        <v>66</v>
      </c>
      <c r="D316" s="53">
        <f>W297</f>
        <v>54</v>
      </c>
      <c r="E316" s="33"/>
      <c r="F316" s="50"/>
      <c r="G316" s="51"/>
    </row>
    <row r="317" spans="3:7" ht="18" x14ac:dyDescent="0.35">
      <c r="C317" s="35" t="s">
        <v>65</v>
      </c>
      <c r="D317" s="33">
        <f>X297</f>
        <v>0</v>
      </c>
      <c r="E317" s="54"/>
      <c r="F317" s="50"/>
      <c r="G317" s="51"/>
    </row>
    <row r="318" spans="3:7" ht="18" x14ac:dyDescent="0.35">
      <c r="C318" s="35" t="s">
        <v>67</v>
      </c>
      <c r="D318" s="33">
        <f>Y297</f>
        <v>0</v>
      </c>
      <c r="E318" s="33"/>
      <c r="F318" s="50"/>
      <c r="G318" s="51"/>
    </row>
    <row r="319" spans="3:7" ht="18" x14ac:dyDescent="0.35">
      <c r="C319" s="35" t="s">
        <v>97</v>
      </c>
      <c r="D319" s="53">
        <f>AE297</f>
        <v>334</v>
      </c>
      <c r="E319" s="33"/>
      <c r="F319" s="50"/>
      <c r="G319" s="51"/>
    </row>
    <row r="320" spans="3:7" ht="18" x14ac:dyDescent="0.35">
      <c r="C320" s="35" t="s">
        <v>103</v>
      </c>
      <c r="D320" s="53">
        <f>AF297</f>
        <v>306</v>
      </c>
      <c r="E320" s="33">
        <f>AG297</f>
        <v>4997.2700000000004</v>
      </c>
      <c r="F320" s="50"/>
      <c r="G320" s="51"/>
    </row>
    <row r="321" spans="3:7" ht="18" x14ac:dyDescent="0.35">
      <c r="C321" s="35" t="s">
        <v>106</v>
      </c>
      <c r="D321" s="53">
        <f>AH297</f>
        <v>314</v>
      </c>
      <c r="E321" s="33"/>
      <c r="F321" s="50"/>
      <c r="G321" s="51"/>
    </row>
    <row r="322" spans="3:7" ht="18" x14ac:dyDescent="0.35">
      <c r="C322" s="35" t="s">
        <v>107</v>
      </c>
      <c r="D322" s="53">
        <f>AI297</f>
        <v>570</v>
      </c>
      <c r="E322" s="33"/>
      <c r="F322" s="50"/>
      <c r="G322" s="51"/>
    </row>
    <row r="323" spans="3:7" ht="18" x14ac:dyDescent="0.35">
      <c r="C323" s="35" t="s">
        <v>108</v>
      </c>
      <c r="D323" s="53">
        <f>AJ297</f>
        <v>31</v>
      </c>
      <c r="E323" s="33"/>
      <c r="F323" s="50"/>
      <c r="G323" s="51"/>
    </row>
    <row r="324" spans="3:7" ht="18" x14ac:dyDescent="0.35">
      <c r="C324" s="35" t="s">
        <v>118</v>
      </c>
      <c r="D324" s="53">
        <f>AK297</f>
        <v>6</v>
      </c>
      <c r="E324" s="33"/>
      <c r="F324" s="50"/>
      <c r="G324" s="51"/>
    </row>
    <row r="325" spans="3:7" ht="18" x14ac:dyDescent="0.35">
      <c r="C325" s="35" t="s">
        <v>146</v>
      </c>
      <c r="D325" s="33">
        <f>AL297</f>
        <v>380</v>
      </c>
      <c r="E325" s="33"/>
      <c r="F325" s="50"/>
      <c r="G325" s="51"/>
    </row>
    <row r="326" spans="3:7" ht="18" x14ac:dyDescent="0.35">
      <c r="C326" s="35" t="s">
        <v>119</v>
      </c>
      <c r="D326" s="53">
        <f>AM297</f>
        <v>357</v>
      </c>
      <c r="E326" s="33"/>
      <c r="F326" s="50"/>
      <c r="G326" s="51"/>
    </row>
    <row r="327" spans="3:7" ht="18" x14ac:dyDescent="0.35">
      <c r="C327" s="35" t="s">
        <v>95</v>
      </c>
      <c r="D327" s="33">
        <f>AD297</f>
        <v>0</v>
      </c>
      <c r="E327" s="33"/>
      <c r="F327" s="50"/>
      <c r="G327" s="51"/>
    </row>
    <row r="328" spans="3:7" ht="18" x14ac:dyDescent="0.35">
      <c r="C328" s="35" t="s">
        <v>120</v>
      </c>
      <c r="D328" s="53">
        <f>AN297</f>
        <v>363</v>
      </c>
      <c r="E328" s="33"/>
      <c r="F328" s="50"/>
      <c r="G328" s="51"/>
    </row>
    <row r="329" spans="3:7" ht="18" x14ac:dyDescent="0.35">
      <c r="C329" s="35" t="s">
        <v>123</v>
      </c>
      <c r="D329" s="53">
        <f>AO297</f>
        <v>333</v>
      </c>
      <c r="E329" s="33"/>
      <c r="F329" s="50"/>
      <c r="G329" s="51"/>
    </row>
    <row r="330" spans="3:7" ht="18" x14ac:dyDescent="0.35">
      <c r="C330" s="35" t="s">
        <v>121</v>
      </c>
      <c r="D330" s="53">
        <f>AP297</f>
        <v>479</v>
      </c>
      <c r="E330" s="33"/>
      <c r="F330" s="50"/>
      <c r="G330" s="51"/>
    </row>
    <row r="331" spans="3:7" ht="18" x14ac:dyDescent="0.35">
      <c r="C331" s="35" t="s">
        <v>122</v>
      </c>
      <c r="D331" s="53">
        <f>AQ297</f>
        <v>333</v>
      </c>
      <c r="E331" s="33"/>
      <c r="F331" s="50"/>
      <c r="G331" s="51"/>
    </row>
    <row r="332" spans="3:7" ht="18" x14ac:dyDescent="0.35">
      <c r="C332" s="35" t="s">
        <v>128</v>
      </c>
      <c r="D332" s="53">
        <f>AR297</f>
        <v>244</v>
      </c>
      <c r="E332" s="33">
        <f>AS297</f>
        <v>5416.6799999999994</v>
      </c>
      <c r="F332" s="50"/>
      <c r="G332" s="51"/>
    </row>
    <row r="333" spans="3:7" ht="18" x14ac:dyDescent="0.35">
      <c r="C333" s="35" t="s">
        <v>132</v>
      </c>
      <c r="D333" s="33">
        <f>AT297</f>
        <v>0</v>
      </c>
      <c r="E333" s="33"/>
      <c r="F333" s="50"/>
      <c r="G333" s="51"/>
    </row>
    <row r="334" spans="3:7" ht="18" x14ac:dyDescent="0.35">
      <c r="C334" s="35" t="s">
        <v>137</v>
      </c>
      <c r="D334" s="33">
        <f>AV297</f>
        <v>0</v>
      </c>
      <c r="E334" s="33"/>
      <c r="F334" s="50"/>
      <c r="G334" s="51"/>
    </row>
    <row r="335" spans="3:7" ht="18" x14ac:dyDescent="0.35">
      <c r="C335" s="35" t="s">
        <v>82</v>
      </c>
      <c r="D335" s="33">
        <f>AB297</f>
        <v>0</v>
      </c>
      <c r="E335" s="33"/>
      <c r="F335" s="50"/>
      <c r="G335" s="51"/>
    </row>
    <row r="336" spans="3:7" ht="18" x14ac:dyDescent="0.35">
      <c r="C336" s="35" t="s">
        <v>77</v>
      </c>
      <c r="D336" s="33">
        <f>Z297</f>
        <v>-90</v>
      </c>
      <c r="E336" s="33"/>
      <c r="F336" s="50"/>
      <c r="G336" s="51"/>
    </row>
    <row r="337" spans="3:7" ht="18" x14ac:dyDescent="0.35">
      <c r="C337" s="35" t="s">
        <v>78</v>
      </c>
      <c r="D337" s="33">
        <f>AA297</f>
        <v>-80</v>
      </c>
      <c r="E337" s="33"/>
      <c r="F337" s="50"/>
      <c r="G337" s="51"/>
    </row>
    <row r="338" spans="3:7" ht="18" x14ac:dyDescent="0.35">
      <c r="C338" s="4"/>
      <c r="G338" s="48">
        <f>SUM(G309:G332)</f>
        <v>0</v>
      </c>
    </row>
    <row r="339" spans="3:7" x14ac:dyDescent="0.3">
      <c r="C339" s="4"/>
    </row>
  </sheetData>
  <autoFilter ref="A3:U292" xr:uid="{00000000-0001-0000-0000-000000000000}"/>
  <mergeCells count="10">
    <mergeCell ref="AR2:AS2"/>
    <mergeCell ref="AF2:AG2"/>
    <mergeCell ref="C307:D307"/>
    <mergeCell ref="Q1:R1"/>
    <mergeCell ref="Q2:R2"/>
    <mergeCell ref="B298:C298"/>
    <mergeCell ref="O1:P1"/>
    <mergeCell ref="M1:N1"/>
    <mergeCell ref="M2:N2"/>
    <mergeCell ref="O2:P2"/>
  </mergeCells>
  <pageMargins left="0.7" right="0.7" top="0.75" bottom="0.75" header="0.3" footer="0.3"/>
  <pageSetup orientation="portrait" r:id="rId1"/>
  <colBreaks count="1" manualBreakCount="1">
    <brk id="9" max="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 habbash</cp:lastModifiedBy>
  <cp:lastPrinted>2026-06-24T07:46:13Z</cp:lastPrinted>
  <dcterms:created xsi:type="dcterms:W3CDTF">2015-06-05T18:17:20Z</dcterms:created>
  <dcterms:modified xsi:type="dcterms:W3CDTF">2026-06-24T07:48:06Z</dcterms:modified>
</cp:coreProperties>
</file>
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حسابات شركة طاهي الشرق الاوسط\ملفات مرسلة الي ايهان\"/>
    </mc:Choice>
  </mc:AlternateContent>
  <xr:revisionPtr revIDLastSave="0" documentId="13_ncr:1_{24C8CBFB-EF69-4EE4-8229-09E2A973D262}" xr6:coauthVersionLast="47" xr6:coauthVersionMax="47" xr10:uidLastSave="{00000000-0000-0000-0000-000000000000}"/>
  <bookViews>
    <workbookView xWindow="-108" yWindow="-108" windowWidth="23256" windowHeight="13896" tabRatio="736" activeTab="3" xr2:uid="{00000000-000D-0000-FFFF-FFFF00000000}"/>
  </bookViews>
  <sheets>
    <sheet name="شهر يونيو 2026" sheetId="9" r:id="rId1"/>
    <sheet name="شهر مايو 2026" sheetId="7" r:id="rId2"/>
    <sheet name="شهر ابريل 2026" sheetId="1" r:id="rId3"/>
    <sheet name="المشتريات" sheetId="2" r:id="rId4"/>
  </sheets>
  <definedNames>
    <definedName name="_xlnm._FilterDatabase" localSheetId="3" hidden="1">المشتريات!$A$2:$P$127</definedName>
    <definedName name="_xlnm._FilterDatabase" localSheetId="2" hidden="1">'شهر ابريل 2026'!$A$2:$M$182</definedName>
    <definedName name="_xlnm._FilterDatabase" localSheetId="1" hidden="1">'شهر مايو 2026'!$A$2:$M$179</definedName>
    <definedName name="_xlnm._FilterDatabase" localSheetId="0" hidden="1">'شهر يونيو 2026'!$A$2:$M$180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9" l="1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H181" i="9"/>
  <c r="F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J164" i="9" s="1"/>
  <c r="K164" i="9" s="1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J138" i="9" s="1"/>
  <c r="K138" i="9" s="1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J90" i="9" s="1"/>
  <c r="K90" i="9" s="1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2" i="9"/>
  <c r="I51" i="9"/>
  <c r="I50" i="9"/>
  <c r="I49" i="9"/>
  <c r="I48" i="9"/>
  <c r="I47" i="9"/>
  <c r="I46" i="9"/>
  <c r="I45" i="9"/>
  <c r="I44" i="9"/>
  <c r="I43" i="9"/>
  <c r="I42" i="9"/>
  <c r="J42" i="9" s="1"/>
  <c r="K42" i="9" s="1"/>
  <c r="I41" i="9"/>
  <c r="I40" i="9"/>
  <c r="I39" i="9"/>
  <c r="I38" i="9"/>
  <c r="I37" i="9"/>
  <c r="I36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J11" i="9" s="1"/>
  <c r="K11" i="9" s="1"/>
  <c r="I10" i="9"/>
  <c r="I9" i="9"/>
  <c r="I8" i="9"/>
  <c r="I7" i="9"/>
  <c r="I6" i="9"/>
  <c r="I5" i="9"/>
  <c r="I4" i="9"/>
  <c r="I3" i="9"/>
  <c r="I74" i="7"/>
  <c r="J74" i="7" s="1"/>
  <c r="K74" i="7" s="1"/>
  <c r="J53" i="9" l="1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J180" i="9"/>
  <c r="K180" i="9" s="1"/>
  <c r="J179" i="9"/>
  <c r="J178" i="9"/>
  <c r="K178" i="9" s="1"/>
  <c r="J177" i="9"/>
  <c r="J176" i="9"/>
  <c r="K176" i="9" s="1"/>
  <c r="J175" i="9"/>
  <c r="J174" i="9"/>
  <c r="K174" i="9" s="1"/>
  <c r="J173" i="9"/>
  <c r="K173" i="9" s="1"/>
  <c r="J172" i="9"/>
  <c r="K172" i="9" s="1"/>
  <c r="J171" i="9"/>
  <c r="K171" i="9" s="1"/>
  <c r="J170" i="9"/>
  <c r="J169" i="9"/>
  <c r="K169" i="9" s="1"/>
  <c r="J168" i="9"/>
  <c r="J167" i="9"/>
  <c r="J166" i="9"/>
  <c r="K166" i="9" s="1"/>
  <c r="J165" i="9"/>
  <c r="K165" i="9" s="1"/>
  <c r="J163" i="9"/>
  <c r="K163" i="9" s="1"/>
  <c r="J162" i="9"/>
  <c r="J161" i="9"/>
  <c r="J160" i="9"/>
  <c r="J159" i="9"/>
  <c r="J158" i="9"/>
  <c r="J157" i="9"/>
  <c r="J156" i="9"/>
  <c r="K156" i="9" s="1"/>
  <c r="J155" i="9"/>
  <c r="K155" i="9" s="1"/>
  <c r="J154" i="9"/>
  <c r="K154" i="9" s="1"/>
  <c r="J153" i="9"/>
  <c r="K153" i="9" s="1"/>
  <c r="J152" i="9"/>
  <c r="J151" i="9"/>
  <c r="J150" i="9"/>
  <c r="K150" i="9" s="1"/>
  <c r="J149" i="9"/>
  <c r="J148" i="9"/>
  <c r="K148" i="9" s="1"/>
  <c r="J147" i="9"/>
  <c r="K147" i="9" s="1"/>
  <c r="J146" i="9"/>
  <c r="K146" i="9" s="1"/>
  <c r="J145" i="9"/>
  <c r="K145" i="9" s="1"/>
  <c r="J144" i="9"/>
  <c r="K144" i="9" s="1"/>
  <c r="J143" i="9"/>
  <c r="K143" i="9" s="1"/>
  <c r="J142" i="9"/>
  <c r="K142" i="9" s="1"/>
  <c r="J141" i="9"/>
  <c r="K141" i="9" s="1"/>
  <c r="J140" i="9"/>
  <c r="J139" i="9"/>
  <c r="K139" i="9" s="1"/>
  <c r="J137" i="9"/>
  <c r="J136" i="9"/>
  <c r="K136" i="9" s="1"/>
  <c r="J135" i="9"/>
  <c r="K135" i="9" s="1"/>
  <c r="J134" i="9"/>
  <c r="K134" i="9" s="1"/>
  <c r="J133" i="9"/>
  <c r="J132" i="9"/>
  <c r="J131" i="9"/>
  <c r="J130" i="9"/>
  <c r="K130" i="9" s="1"/>
  <c r="J129" i="9"/>
  <c r="J128" i="9"/>
  <c r="K128" i="9" s="1"/>
  <c r="J127" i="9"/>
  <c r="J126" i="9"/>
  <c r="J125" i="9"/>
  <c r="K125" i="9" s="1"/>
  <c r="J124" i="9"/>
  <c r="K124" i="9" s="1"/>
  <c r="J123" i="9"/>
  <c r="K123" i="9" s="1"/>
  <c r="J122" i="9"/>
  <c r="J121" i="9"/>
  <c r="K121" i="9" s="1"/>
  <c r="J120" i="9"/>
  <c r="K120" i="9" s="1"/>
  <c r="J119" i="9"/>
  <c r="K119" i="9" s="1"/>
  <c r="J118" i="9"/>
  <c r="J117" i="9"/>
  <c r="J116" i="9"/>
  <c r="K116" i="9" s="1"/>
  <c r="J115" i="9"/>
  <c r="K115" i="9" s="1"/>
  <c r="J114" i="9"/>
  <c r="K114" i="9" s="1"/>
  <c r="J113" i="9"/>
  <c r="J112" i="9"/>
  <c r="J111" i="9"/>
  <c r="J110" i="9"/>
  <c r="K110" i="9" s="1"/>
  <c r="J109" i="9"/>
  <c r="J108" i="9"/>
  <c r="J107" i="9"/>
  <c r="K107" i="9" s="1"/>
  <c r="J106" i="9"/>
  <c r="J105" i="9"/>
  <c r="J104" i="9"/>
  <c r="K104" i="9" s="1"/>
  <c r="J103" i="9"/>
  <c r="K103" i="9" s="1"/>
  <c r="J102" i="9"/>
  <c r="J101" i="9"/>
  <c r="K101" i="9" s="1"/>
  <c r="J100" i="9"/>
  <c r="K100" i="9" s="1"/>
  <c r="J99" i="9"/>
  <c r="K99" i="9" s="1"/>
  <c r="J98" i="9"/>
  <c r="K98" i="9" s="1"/>
  <c r="J97" i="9"/>
  <c r="K97" i="9" s="1"/>
  <c r="J96" i="9"/>
  <c r="J95" i="9"/>
  <c r="K95" i="9" s="1"/>
  <c r="J94" i="9"/>
  <c r="K94" i="9" s="1"/>
  <c r="J93" i="9"/>
  <c r="K93" i="9" s="1"/>
  <c r="J92" i="9"/>
  <c r="K92" i="9" s="1"/>
  <c r="J91" i="9"/>
  <c r="J89" i="9"/>
  <c r="K89" i="9" s="1"/>
  <c r="J88" i="9"/>
  <c r="K88" i="9" s="1"/>
  <c r="J87" i="9"/>
  <c r="J86" i="9"/>
  <c r="J85" i="9"/>
  <c r="J84" i="9"/>
  <c r="K84" i="9" s="1"/>
  <c r="J83" i="9"/>
  <c r="J82" i="9"/>
  <c r="K82" i="9" s="1"/>
  <c r="J81" i="9"/>
  <c r="K81" i="9" s="1"/>
  <c r="J80" i="9"/>
  <c r="K80" i="9" s="1"/>
  <c r="J79" i="9"/>
  <c r="K79" i="9" s="1"/>
  <c r="J78" i="9"/>
  <c r="J77" i="9"/>
  <c r="K77" i="9" s="1"/>
  <c r="J76" i="9"/>
  <c r="K76" i="9" s="1"/>
  <c r="J75" i="9"/>
  <c r="K75" i="9" s="1"/>
  <c r="J74" i="9"/>
  <c r="J73" i="9"/>
  <c r="K73" i="9" s="1"/>
  <c r="J72" i="9"/>
  <c r="J71" i="9"/>
  <c r="K71" i="9" s="1"/>
  <c r="J70" i="9"/>
  <c r="J69" i="9"/>
  <c r="K69" i="9" s="1"/>
  <c r="J68" i="9"/>
  <c r="K68" i="9" s="1"/>
  <c r="J67" i="9"/>
  <c r="K67" i="9" s="1"/>
  <c r="J66" i="9"/>
  <c r="K66" i="9" s="1"/>
  <c r="J65" i="9"/>
  <c r="K65" i="9" s="1"/>
  <c r="J64" i="9"/>
  <c r="K64" i="9" s="1"/>
  <c r="J63" i="9"/>
  <c r="K63" i="9" s="1"/>
  <c r="J62" i="9"/>
  <c r="K62" i="9" s="1"/>
  <c r="J61" i="9"/>
  <c r="K61" i="9" s="1"/>
  <c r="J60" i="9"/>
  <c r="K60" i="9" s="1"/>
  <c r="J59" i="9"/>
  <c r="K59" i="9" s="1"/>
  <c r="J58" i="9"/>
  <c r="J57" i="9"/>
  <c r="K57" i="9" s="1"/>
  <c r="J56" i="9"/>
  <c r="J55" i="9"/>
  <c r="K55" i="9" s="1"/>
  <c r="J54" i="9"/>
  <c r="K54" i="9" s="1"/>
  <c r="J52" i="9"/>
  <c r="J51" i="9"/>
  <c r="J50" i="9"/>
  <c r="K50" i="9" s="1"/>
  <c r="J49" i="9"/>
  <c r="K49" i="9" s="1"/>
  <c r="J48" i="9"/>
  <c r="J47" i="9"/>
  <c r="K47" i="9" s="1"/>
  <c r="J46" i="9"/>
  <c r="J45" i="9"/>
  <c r="K45" i="9" s="1"/>
  <c r="J44" i="9"/>
  <c r="K44" i="9" s="1"/>
  <c r="I181" i="9"/>
  <c r="J43" i="9"/>
  <c r="K43" i="9" s="1"/>
  <c r="J41" i="9"/>
  <c r="K41" i="9" s="1"/>
  <c r="J40" i="9"/>
  <c r="K40" i="9" s="1"/>
  <c r="J39" i="9"/>
  <c r="K39" i="9" s="1"/>
  <c r="J38" i="9"/>
  <c r="K38" i="9" s="1"/>
  <c r="J37" i="9"/>
  <c r="K37" i="9" s="1"/>
  <c r="J36" i="9"/>
  <c r="K36" i="9" s="1"/>
  <c r="J35" i="9"/>
  <c r="J34" i="9"/>
  <c r="K34" i="9" s="1"/>
  <c r="J33" i="9"/>
  <c r="K33" i="9" s="1"/>
  <c r="J32" i="9"/>
  <c r="K32" i="9" s="1"/>
  <c r="J31" i="9"/>
  <c r="J30" i="9"/>
  <c r="J29" i="9"/>
  <c r="K29" i="9" s="1"/>
  <c r="J28" i="9"/>
  <c r="K28" i="9" s="1"/>
  <c r="J27" i="9"/>
  <c r="K27" i="9" s="1"/>
  <c r="J26" i="9"/>
  <c r="K26" i="9" s="1"/>
  <c r="J25" i="9"/>
  <c r="K25" i="9" s="1"/>
  <c r="J24" i="9"/>
  <c r="K24" i="9" s="1"/>
  <c r="J23" i="9"/>
  <c r="K23" i="9" s="1"/>
  <c r="J22" i="9"/>
  <c r="K22" i="9" s="1"/>
  <c r="J21" i="9"/>
  <c r="K21" i="9" s="1"/>
  <c r="J20" i="9"/>
  <c r="J19" i="9"/>
  <c r="K19" i="9" s="1"/>
  <c r="J18" i="9"/>
  <c r="J17" i="9"/>
  <c r="K17" i="9" s="1"/>
  <c r="J16" i="9"/>
  <c r="K16" i="9" s="1"/>
  <c r="J15" i="9"/>
  <c r="J14" i="9"/>
  <c r="J13" i="9"/>
  <c r="K13" i="9" s="1"/>
  <c r="J12" i="9"/>
  <c r="J10" i="9"/>
  <c r="K10" i="9" s="1"/>
  <c r="J9" i="9"/>
  <c r="K9" i="9" s="1"/>
  <c r="J8" i="9"/>
  <c r="K8" i="9" s="1"/>
  <c r="J7" i="9"/>
  <c r="J6" i="9"/>
  <c r="J5" i="9"/>
  <c r="K5" i="9" s="1"/>
  <c r="J4" i="9"/>
  <c r="K4" i="9" s="1"/>
  <c r="J3" i="9"/>
  <c r="K126" i="9" l="1"/>
  <c r="K53" i="9"/>
  <c r="K127" i="9"/>
  <c r="M115" i="2"/>
  <c r="M117" i="2"/>
  <c r="M118" i="2"/>
  <c r="M119" i="2"/>
  <c r="M120" i="2"/>
  <c r="M121" i="2"/>
  <c r="M122" i="2"/>
  <c r="M123" i="2"/>
  <c r="M124" i="2"/>
  <c r="M125" i="2"/>
  <c r="M127" i="2"/>
  <c r="O127" i="2" s="1"/>
  <c r="M126" i="2"/>
  <c r="M116" i="2"/>
  <c r="K72" i="9"/>
  <c r="K132" i="9"/>
  <c r="K109" i="9"/>
  <c r="K122" i="9"/>
  <c r="K129" i="9"/>
  <c r="K35" i="9"/>
  <c r="K74" i="9"/>
  <c r="K7" i="9"/>
  <c r="K108" i="9"/>
  <c r="K56" i="9"/>
  <c r="K168" i="9"/>
  <c r="K102" i="9"/>
  <c r="K161" i="9"/>
  <c r="K162" i="9"/>
  <c r="K117" i="9"/>
  <c r="K113" i="9"/>
  <c r="K137" i="9"/>
  <c r="K140" i="9"/>
  <c r="K78" i="9"/>
  <c r="K175" i="9"/>
  <c r="K149" i="9"/>
  <c r="K177" i="9"/>
  <c r="K133" i="9"/>
  <c r="K111" i="9"/>
  <c r="K170" i="9"/>
  <c r="K30" i="9"/>
  <c r="K151" i="9"/>
  <c r="K106" i="9"/>
  <c r="K87" i="9"/>
  <c r="K15" i="9"/>
  <c r="K58" i="9"/>
  <c r="K70" i="9"/>
  <c r="K31" i="9"/>
  <c r="K20" i="9"/>
  <c r="K179" i="9"/>
  <c r="K167" i="9"/>
  <c r="K46" i="9"/>
  <c r="K52" i="9"/>
  <c r="K131" i="9"/>
  <c r="K86" i="9"/>
  <c r="K51" i="9"/>
  <c r="K18" i="9"/>
  <c r="K48" i="9"/>
  <c r="K96" i="9"/>
  <c r="K91" i="9"/>
  <c r="K105" i="9"/>
  <c r="K85" i="9"/>
  <c r="K83" i="9"/>
  <c r="K157" i="9"/>
  <c r="K159" i="9"/>
  <c r="K158" i="9"/>
  <c r="K6" i="9"/>
  <c r="K112" i="9"/>
  <c r="K14" i="9"/>
  <c r="K12" i="9"/>
  <c r="K152" i="9"/>
  <c r="K118" i="9"/>
  <c r="K160" i="9"/>
  <c r="J181" i="9"/>
  <c r="K3" i="9"/>
  <c r="K181" i="9" l="1"/>
  <c r="I31" i="7" l="1"/>
  <c r="J31" i="7" l="1"/>
  <c r="K31" i="7" s="1"/>
  <c r="K104" i="2" l="1"/>
  <c r="L104" i="2" s="1"/>
  <c r="M104" i="2" s="1"/>
  <c r="I135" i="1" l="1"/>
  <c r="J135" i="1" s="1"/>
  <c r="H180" i="7"/>
  <c r="F180" i="7"/>
  <c r="I179" i="7"/>
  <c r="I178" i="7"/>
  <c r="J178" i="7" s="1"/>
  <c r="K178" i="7" s="1"/>
  <c r="I177" i="7"/>
  <c r="J177" i="7" s="1"/>
  <c r="K177" i="7" s="1"/>
  <c r="I176" i="7"/>
  <c r="J176" i="7" s="1"/>
  <c r="K176" i="7" s="1"/>
  <c r="I175" i="7"/>
  <c r="I174" i="7"/>
  <c r="J174" i="7" s="1"/>
  <c r="K174" i="7" s="1"/>
  <c r="I173" i="7"/>
  <c r="J173" i="7" s="1"/>
  <c r="K173" i="7" s="1"/>
  <c r="I172" i="7"/>
  <c r="J172" i="7" s="1"/>
  <c r="K172" i="7" s="1"/>
  <c r="I171" i="7"/>
  <c r="I170" i="7"/>
  <c r="J170" i="7" s="1"/>
  <c r="K170" i="7" s="1"/>
  <c r="I169" i="7"/>
  <c r="J169" i="7" s="1"/>
  <c r="K169" i="7" s="1"/>
  <c r="I168" i="7"/>
  <c r="J168" i="7" s="1"/>
  <c r="K168" i="7" s="1"/>
  <c r="I167" i="7"/>
  <c r="I166" i="7"/>
  <c r="J166" i="7" s="1"/>
  <c r="K166" i="7" s="1"/>
  <c r="I165" i="7"/>
  <c r="J165" i="7" s="1"/>
  <c r="K165" i="7" s="1"/>
  <c r="I164" i="7"/>
  <c r="J164" i="7" s="1"/>
  <c r="K164" i="7" s="1"/>
  <c r="I163" i="7"/>
  <c r="I162" i="7"/>
  <c r="I161" i="7"/>
  <c r="J161" i="7" s="1"/>
  <c r="K161" i="7" s="1"/>
  <c r="I160" i="7"/>
  <c r="J160" i="7" s="1"/>
  <c r="K160" i="7" s="1"/>
  <c r="I159" i="7"/>
  <c r="I158" i="7"/>
  <c r="J158" i="7" s="1"/>
  <c r="K158" i="7" s="1"/>
  <c r="I157" i="7"/>
  <c r="J157" i="7" s="1"/>
  <c r="K157" i="7" s="1"/>
  <c r="I156" i="7"/>
  <c r="J156" i="7" s="1"/>
  <c r="K156" i="7" s="1"/>
  <c r="I155" i="7"/>
  <c r="I154" i="7"/>
  <c r="J154" i="7" s="1"/>
  <c r="K154" i="7" s="1"/>
  <c r="I153" i="7"/>
  <c r="J153" i="7" s="1"/>
  <c r="K153" i="7" s="1"/>
  <c r="I152" i="7"/>
  <c r="J152" i="7" s="1"/>
  <c r="K152" i="7" s="1"/>
  <c r="I151" i="7"/>
  <c r="I150" i="7"/>
  <c r="I149" i="7"/>
  <c r="J149" i="7" s="1"/>
  <c r="K149" i="7" s="1"/>
  <c r="I148" i="7"/>
  <c r="J148" i="7" s="1"/>
  <c r="K148" i="7" s="1"/>
  <c r="I147" i="7"/>
  <c r="I146" i="7"/>
  <c r="J146" i="7" s="1"/>
  <c r="K146" i="7" s="1"/>
  <c r="I145" i="7"/>
  <c r="J145" i="7" s="1"/>
  <c r="K145" i="7" s="1"/>
  <c r="I144" i="7"/>
  <c r="J144" i="7" s="1"/>
  <c r="K144" i="7" s="1"/>
  <c r="I143" i="7"/>
  <c r="I142" i="7"/>
  <c r="J142" i="7" s="1"/>
  <c r="K142" i="7" s="1"/>
  <c r="I141" i="7"/>
  <c r="J141" i="7" s="1"/>
  <c r="K141" i="7" s="1"/>
  <c r="I140" i="7"/>
  <c r="J140" i="7" s="1"/>
  <c r="K140" i="7" s="1"/>
  <c r="I139" i="7"/>
  <c r="I138" i="7"/>
  <c r="J138" i="7" s="1"/>
  <c r="K138" i="7" s="1"/>
  <c r="I137" i="7"/>
  <c r="J137" i="7" s="1"/>
  <c r="K137" i="7" s="1"/>
  <c r="I136" i="7"/>
  <c r="J136" i="7" s="1"/>
  <c r="K136" i="7" s="1"/>
  <c r="I135" i="7"/>
  <c r="I134" i="7"/>
  <c r="J134" i="7" s="1"/>
  <c r="K134" i="7" s="1"/>
  <c r="I133" i="7"/>
  <c r="J133" i="7" s="1"/>
  <c r="K133" i="7" s="1"/>
  <c r="I132" i="7"/>
  <c r="J132" i="7" s="1"/>
  <c r="K132" i="7" s="1"/>
  <c r="I131" i="7"/>
  <c r="I130" i="7"/>
  <c r="J130" i="7" s="1"/>
  <c r="K130" i="7" s="1"/>
  <c r="I129" i="7"/>
  <c r="J129" i="7" s="1"/>
  <c r="K129" i="7" s="1"/>
  <c r="I128" i="7"/>
  <c r="J128" i="7" s="1"/>
  <c r="K128" i="7" s="1"/>
  <c r="I127" i="7"/>
  <c r="I126" i="7"/>
  <c r="J126" i="7" s="1"/>
  <c r="I125" i="7"/>
  <c r="J125" i="7" s="1"/>
  <c r="K125" i="7" s="1"/>
  <c r="I124" i="7"/>
  <c r="J124" i="7" s="1"/>
  <c r="K124" i="7" s="1"/>
  <c r="I123" i="7"/>
  <c r="I122" i="7"/>
  <c r="J122" i="7" s="1"/>
  <c r="K122" i="7" s="1"/>
  <c r="I121" i="7"/>
  <c r="J121" i="7" s="1"/>
  <c r="K121" i="7" s="1"/>
  <c r="I120" i="7"/>
  <c r="J120" i="7" s="1"/>
  <c r="K120" i="7" s="1"/>
  <c r="I119" i="7"/>
  <c r="I118" i="7"/>
  <c r="J118" i="7" s="1"/>
  <c r="K118" i="7" s="1"/>
  <c r="I117" i="7"/>
  <c r="J117" i="7" s="1"/>
  <c r="K117" i="7" s="1"/>
  <c r="I116" i="7"/>
  <c r="J116" i="7" s="1"/>
  <c r="K116" i="7" s="1"/>
  <c r="I115" i="7"/>
  <c r="I114" i="7"/>
  <c r="J114" i="7" s="1"/>
  <c r="I113" i="7"/>
  <c r="J113" i="7" s="1"/>
  <c r="K113" i="7" s="1"/>
  <c r="I112" i="7"/>
  <c r="J112" i="7" s="1"/>
  <c r="K112" i="7" s="1"/>
  <c r="I111" i="7"/>
  <c r="I110" i="7"/>
  <c r="J110" i="7" s="1"/>
  <c r="K110" i="7" s="1"/>
  <c r="I109" i="7"/>
  <c r="J109" i="7" s="1"/>
  <c r="K109" i="7" s="1"/>
  <c r="I108" i="7"/>
  <c r="J108" i="7" s="1"/>
  <c r="K108" i="7" s="1"/>
  <c r="I107" i="7"/>
  <c r="I106" i="7"/>
  <c r="J106" i="7" s="1"/>
  <c r="K106" i="7" s="1"/>
  <c r="I105" i="7"/>
  <c r="J105" i="7" s="1"/>
  <c r="K105" i="7" s="1"/>
  <c r="I104" i="7"/>
  <c r="J104" i="7" s="1"/>
  <c r="K104" i="7" s="1"/>
  <c r="I103" i="7"/>
  <c r="I102" i="7"/>
  <c r="I101" i="7"/>
  <c r="J101" i="7" s="1"/>
  <c r="K101" i="7" s="1"/>
  <c r="I100" i="7"/>
  <c r="J100" i="7" s="1"/>
  <c r="K100" i="7" s="1"/>
  <c r="I99" i="7"/>
  <c r="I98" i="7"/>
  <c r="J98" i="7" s="1"/>
  <c r="K98" i="7" s="1"/>
  <c r="I97" i="7"/>
  <c r="J97" i="7" s="1"/>
  <c r="K97" i="7" s="1"/>
  <c r="I96" i="7"/>
  <c r="J96" i="7" s="1"/>
  <c r="K96" i="7" s="1"/>
  <c r="I95" i="7"/>
  <c r="I94" i="7"/>
  <c r="J94" i="7" s="1"/>
  <c r="K94" i="7" s="1"/>
  <c r="I93" i="7"/>
  <c r="J93" i="7" s="1"/>
  <c r="K93" i="7" s="1"/>
  <c r="I92" i="7"/>
  <c r="J92" i="7" s="1"/>
  <c r="K92" i="7" s="1"/>
  <c r="I91" i="7"/>
  <c r="I90" i="7"/>
  <c r="J90" i="7" s="1"/>
  <c r="I89" i="7"/>
  <c r="J89" i="7" s="1"/>
  <c r="K89" i="7" s="1"/>
  <c r="I88" i="7"/>
  <c r="J88" i="7" s="1"/>
  <c r="K88" i="7" s="1"/>
  <c r="I87" i="7"/>
  <c r="I86" i="7"/>
  <c r="J86" i="7" s="1"/>
  <c r="K86" i="7" s="1"/>
  <c r="I85" i="7"/>
  <c r="J85" i="7" s="1"/>
  <c r="K85" i="7" s="1"/>
  <c r="I84" i="7"/>
  <c r="J84" i="7" s="1"/>
  <c r="K84" i="7" s="1"/>
  <c r="I83" i="7"/>
  <c r="I82" i="7"/>
  <c r="J82" i="7" s="1"/>
  <c r="K82" i="7" s="1"/>
  <c r="I81" i="7"/>
  <c r="J81" i="7" s="1"/>
  <c r="K81" i="7" s="1"/>
  <c r="I80" i="7"/>
  <c r="J80" i="7" s="1"/>
  <c r="K80" i="7" s="1"/>
  <c r="I79" i="7"/>
  <c r="I78" i="7"/>
  <c r="I77" i="7"/>
  <c r="J77" i="7" s="1"/>
  <c r="K77" i="7" s="1"/>
  <c r="I76" i="7"/>
  <c r="J76" i="7" s="1"/>
  <c r="K76" i="7" s="1"/>
  <c r="I75" i="7"/>
  <c r="I73" i="7"/>
  <c r="J73" i="7" s="1"/>
  <c r="K73" i="7" s="1"/>
  <c r="I72" i="7"/>
  <c r="J72" i="7" s="1"/>
  <c r="K72" i="7" s="1"/>
  <c r="I71" i="7"/>
  <c r="J71" i="7" s="1"/>
  <c r="K71" i="7" s="1"/>
  <c r="I70" i="7"/>
  <c r="I69" i="7"/>
  <c r="J69" i="7" s="1"/>
  <c r="K69" i="7" s="1"/>
  <c r="I68" i="7"/>
  <c r="J68" i="7" s="1"/>
  <c r="K68" i="7" s="1"/>
  <c r="I67" i="7"/>
  <c r="J67" i="7" s="1"/>
  <c r="K67" i="7" s="1"/>
  <c r="I66" i="7"/>
  <c r="I65" i="7"/>
  <c r="I64" i="7"/>
  <c r="J64" i="7" s="1"/>
  <c r="K64" i="7" s="1"/>
  <c r="I63" i="7"/>
  <c r="J63" i="7" s="1"/>
  <c r="K63" i="7" s="1"/>
  <c r="I62" i="7"/>
  <c r="J62" i="7" s="1"/>
  <c r="K62" i="7" s="1"/>
  <c r="I61" i="7"/>
  <c r="J61" i="7" s="1"/>
  <c r="K61" i="7" s="1"/>
  <c r="I60" i="7"/>
  <c r="J60" i="7" s="1"/>
  <c r="K60" i="7" s="1"/>
  <c r="I59" i="7"/>
  <c r="I58" i="7"/>
  <c r="J58" i="7" s="1"/>
  <c r="K58" i="7" s="1"/>
  <c r="I57" i="7"/>
  <c r="J57" i="7" s="1"/>
  <c r="K57" i="7" s="1"/>
  <c r="I56" i="7"/>
  <c r="J56" i="7" s="1"/>
  <c r="K56" i="7" s="1"/>
  <c r="I55" i="7"/>
  <c r="I54" i="7"/>
  <c r="J54" i="7" s="1"/>
  <c r="K54" i="7" s="1"/>
  <c r="I53" i="7"/>
  <c r="J53" i="7" s="1"/>
  <c r="K53" i="7" s="1"/>
  <c r="I52" i="7"/>
  <c r="I51" i="7"/>
  <c r="J51" i="7" s="1"/>
  <c r="K51" i="7" s="1"/>
  <c r="I50" i="7"/>
  <c r="J50" i="7" s="1"/>
  <c r="K50" i="7" s="1"/>
  <c r="I49" i="7"/>
  <c r="J49" i="7" s="1"/>
  <c r="K49" i="7" s="1"/>
  <c r="I48" i="7"/>
  <c r="I47" i="7"/>
  <c r="J47" i="7" s="1"/>
  <c r="K47" i="7" s="1"/>
  <c r="I46" i="7"/>
  <c r="J46" i="7" s="1"/>
  <c r="K46" i="7" s="1"/>
  <c r="I45" i="7"/>
  <c r="J45" i="7" s="1"/>
  <c r="K45" i="7" s="1"/>
  <c r="I44" i="7"/>
  <c r="I43" i="7"/>
  <c r="I42" i="7"/>
  <c r="J42" i="7" s="1"/>
  <c r="K42" i="7" s="1"/>
  <c r="I41" i="7"/>
  <c r="I40" i="7"/>
  <c r="J40" i="7" s="1"/>
  <c r="K40" i="7" s="1"/>
  <c r="I39" i="7"/>
  <c r="J39" i="7" s="1"/>
  <c r="K39" i="7" s="1"/>
  <c r="I38" i="7"/>
  <c r="J38" i="7" s="1"/>
  <c r="K38" i="7" s="1"/>
  <c r="I37" i="7"/>
  <c r="I36" i="7"/>
  <c r="J36" i="7" s="1"/>
  <c r="K36" i="7" s="1"/>
  <c r="I35" i="7"/>
  <c r="J35" i="7" s="1"/>
  <c r="K35" i="7" s="1"/>
  <c r="I34" i="7"/>
  <c r="J34" i="7" s="1"/>
  <c r="K34" i="7" s="1"/>
  <c r="I33" i="7"/>
  <c r="I32" i="7"/>
  <c r="I30" i="7"/>
  <c r="J30" i="7" s="1"/>
  <c r="K30" i="7" s="1"/>
  <c r="I29" i="7"/>
  <c r="J29" i="7" s="1"/>
  <c r="K29" i="7" s="1"/>
  <c r="I28" i="7"/>
  <c r="I27" i="7"/>
  <c r="J27" i="7" s="1"/>
  <c r="K27" i="7" s="1"/>
  <c r="I26" i="7"/>
  <c r="J26" i="7" s="1"/>
  <c r="K26" i="7" s="1"/>
  <c r="I25" i="7"/>
  <c r="J25" i="7" s="1"/>
  <c r="K25" i="7" s="1"/>
  <c r="I24" i="7"/>
  <c r="I23" i="7"/>
  <c r="J23" i="7" s="1"/>
  <c r="K23" i="7" s="1"/>
  <c r="I22" i="7"/>
  <c r="J22" i="7" s="1"/>
  <c r="K22" i="7" s="1"/>
  <c r="I21" i="7"/>
  <c r="I20" i="7"/>
  <c r="I19" i="7"/>
  <c r="J19" i="7" s="1"/>
  <c r="K19" i="7" s="1"/>
  <c r="I18" i="7"/>
  <c r="J18" i="7" s="1"/>
  <c r="K18" i="7" s="1"/>
  <c r="I17" i="7"/>
  <c r="I16" i="7"/>
  <c r="J16" i="7" s="1"/>
  <c r="K16" i="7" s="1"/>
  <c r="I15" i="7"/>
  <c r="J15" i="7" s="1"/>
  <c r="K15" i="7" s="1"/>
  <c r="I14" i="7"/>
  <c r="J14" i="7" s="1"/>
  <c r="K14" i="7" s="1"/>
  <c r="I13" i="7"/>
  <c r="I12" i="7"/>
  <c r="J12" i="7" s="1"/>
  <c r="K12" i="7" s="1"/>
  <c r="I11" i="7"/>
  <c r="J11" i="7" s="1"/>
  <c r="K11" i="7" s="1"/>
  <c r="I10" i="7"/>
  <c r="J10" i="7" s="1"/>
  <c r="K10" i="7" s="1"/>
  <c r="I9" i="7"/>
  <c r="J9" i="7" s="1"/>
  <c r="I8" i="7"/>
  <c r="J8" i="7" s="1"/>
  <c r="K8" i="7" s="1"/>
  <c r="I7" i="7"/>
  <c r="J7" i="7" s="1"/>
  <c r="K7" i="7" s="1"/>
  <c r="I6" i="7"/>
  <c r="J6" i="7" s="1"/>
  <c r="K6" i="7" s="1"/>
  <c r="I5" i="7"/>
  <c r="J5" i="7" s="1"/>
  <c r="I4" i="7"/>
  <c r="J4" i="7" s="1"/>
  <c r="K4" i="7" s="1"/>
  <c r="I3" i="7"/>
  <c r="J3" i="7" s="1"/>
  <c r="J162" i="7" l="1"/>
  <c r="K162" i="7" s="1"/>
  <c r="K114" i="7"/>
  <c r="K135" i="1"/>
  <c r="J78" i="7"/>
  <c r="K78" i="7" s="1"/>
  <c r="J20" i="7"/>
  <c r="K20" i="7" s="1"/>
  <c r="J102" i="7"/>
  <c r="K102" i="7" s="1"/>
  <c r="J43" i="7"/>
  <c r="K43" i="7" s="1"/>
  <c r="J32" i="7"/>
  <c r="K32" i="7" s="1"/>
  <c r="K90" i="7"/>
  <c r="J65" i="7"/>
  <c r="K65" i="7" s="1"/>
  <c r="K126" i="7"/>
  <c r="J150" i="7"/>
  <c r="K150" i="7" s="1"/>
  <c r="J17" i="7"/>
  <c r="K17" i="7" s="1"/>
  <c r="J28" i="7"/>
  <c r="K28" i="7" s="1"/>
  <c r="J87" i="7"/>
  <c r="K87" i="7" s="1"/>
  <c r="J123" i="7"/>
  <c r="K123" i="7" s="1"/>
  <c r="J179" i="7"/>
  <c r="K179" i="7" s="1"/>
  <c r="J24" i="7"/>
  <c r="K24" i="7" s="1"/>
  <c r="J119" i="7"/>
  <c r="K119" i="7" s="1"/>
  <c r="J41" i="7"/>
  <c r="K41" i="7" s="1"/>
  <c r="J52" i="7"/>
  <c r="K52" i="7" s="1"/>
  <c r="J99" i="7"/>
  <c r="K99" i="7" s="1"/>
  <c r="J135" i="7"/>
  <c r="K135" i="7" s="1"/>
  <c r="J159" i="7"/>
  <c r="K159" i="7" s="1"/>
  <c r="J48" i="7"/>
  <c r="K48" i="7" s="1"/>
  <c r="J59" i="7"/>
  <c r="K59" i="7" s="1"/>
  <c r="J83" i="7"/>
  <c r="K83" i="7" s="1"/>
  <c r="J95" i="7"/>
  <c r="K95" i="7" s="1"/>
  <c r="J107" i="7"/>
  <c r="K107" i="7" s="1"/>
  <c r="J167" i="7"/>
  <c r="K167" i="7" s="1"/>
  <c r="K9" i="7"/>
  <c r="K5" i="7"/>
  <c r="J75" i="7"/>
  <c r="K75" i="7" s="1"/>
  <c r="J111" i="7"/>
  <c r="K111" i="7" s="1"/>
  <c r="J147" i="7"/>
  <c r="K147" i="7" s="1"/>
  <c r="J171" i="7"/>
  <c r="K171" i="7" s="1"/>
  <c r="J13" i="7"/>
  <c r="K13" i="7" s="1"/>
  <c r="J37" i="7"/>
  <c r="K37" i="7" s="1"/>
  <c r="J70" i="7"/>
  <c r="K70" i="7" s="1"/>
  <c r="J131" i="7"/>
  <c r="K131" i="7" s="1"/>
  <c r="J143" i="7"/>
  <c r="K143" i="7" s="1"/>
  <c r="J155" i="7"/>
  <c r="K155" i="7" s="1"/>
  <c r="K3" i="7"/>
  <c r="J175" i="7"/>
  <c r="K175" i="7" s="1"/>
  <c r="J21" i="7"/>
  <c r="J33" i="7"/>
  <c r="K33" i="7" s="1"/>
  <c r="J44" i="7"/>
  <c r="K44" i="7" s="1"/>
  <c r="J55" i="7"/>
  <c r="K55" i="7" s="1"/>
  <c r="J66" i="7"/>
  <c r="K66" i="7" s="1"/>
  <c r="J79" i="7"/>
  <c r="K79" i="7" s="1"/>
  <c r="J91" i="7"/>
  <c r="K91" i="7" s="1"/>
  <c r="J103" i="7"/>
  <c r="K103" i="7" s="1"/>
  <c r="J115" i="7"/>
  <c r="K115" i="7" s="1"/>
  <c r="J127" i="7"/>
  <c r="K127" i="7" s="1"/>
  <c r="J139" i="7"/>
  <c r="K139" i="7" s="1"/>
  <c r="J151" i="7"/>
  <c r="K151" i="7" s="1"/>
  <c r="J163" i="7"/>
  <c r="K163" i="7" s="1"/>
  <c r="I180" i="7"/>
  <c r="J180" i="7" l="1"/>
  <c r="K21" i="7"/>
  <c r="K180" i="7" s="1"/>
  <c r="I116" i="1" l="1"/>
  <c r="J116" i="1" s="1"/>
  <c r="I115" i="1"/>
  <c r="J115" i="1" s="1"/>
  <c r="K115" i="1" s="1"/>
  <c r="I114" i="1"/>
  <c r="I113" i="1"/>
  <c r="I112" i="1"/>
  <c r="I111" i="1"/>
  <c r="J111" i="1" s="1"/>
  <c r="J114" i="1" l="1"/>
  <c r="K114" i="1" s="1"/>
  <c r="J112" i="1"/>
  <c r="K112" i="1" s="1"/>
  <c r="J113" i="1"/>
  <c r="K113" i="1" s="1"/>
  <c r="K111" i="1"/>
  <c r="K116" i="1"/>
  <c r="I99" i="1" l="1"/>
  <c r="J99" i="1" s="1"/>
  <c r="I119" i="1"/>
  <c r="J119" i="1" s="1"/>
  <c r="K119" i="1" s="1"/>
  <c r="K99" i="1" l="1"/>
  <c r="I78" i="1" l="1"/>
  <c r="J78" i="1" s="1"/>
  <c r="K78" i="1" s="1"/>
  <c r="I77" i="1"/>
  <c r="J77" i="1" s="1"/>
  <c r="K77" i="1" s="1"/>
  <c r="K103" i="2" l="1"/>
  <c r="L103" i="2" s="1"/>
  <c r="K105" i="2"/>
  <c r="K106" i="2"/>
  <c r="L106" i="2" s="1"/>
  <c r="K107" i="2"/>
  <c r="L107" i="2" s="1"/>
  <c r="K108" i="2"/>
  <c r="L108" i="2" s="1"/>
  <c r="K109" i="2"/>
  <c r="L109" i="2" s="1"/>
  <c r="K110" i="2"/>
  <c r="L110" i="2" s="1"/>
  <c r="M110" i="2" s="1"/>
  <c r="K111" i="2"/>
  <c r="L111" i="2" s="1"/>
  <c r="M111" i="2" s="1"/>
  <c r="K112" i="2"/>
  <c r="L112" i="2" s="1"/>
  <c r="M112" i="2" s="1"/>
  <c r="K113" i="2"/>
  <c r="K114" i="2"/>
  <c r="M109" i="2" l="1"/>
  <c r="M108" i="2"/>
  <c r="M107" i="2"/>
  <c r="L105" i="2"/>
  <c r="M105" i="2" s="1"/>
  <c r="M106" i="2"/>
  <c r="M103" i="2"/>
  <c r="L114" i="2"/>
  <c r="M114" i="2" s="1"/>
  <c r="L113" i="2"/>
  <c r="M113" i="2" s="1"/>
  <c r="I11" i="1" l="1"/>
  <c r="J11" i="1" s="1"/>
  <c r="K11" i="1" l="1"/>
  <c r="I5" i="1" l="1"/>
  <c r="I6" i="1"/>
  <c r="J6" i="1" l="1"/>
  <c r="K6" i="1" s="1"/>
  <c r="J5" i="1"/>
  <c r="K5" i="1" s="1"/>
  <c r="L143" i="2" l="1"/>
  <c r="M143" i="2" s="1"/>
  <c r="O142" i="2"/>
  <c r="O141" i="2"/>
  <c r="F140" i="2"/>
  <c r="F143" i="2" s="1"/>
  <c r="L137" i="2"/>
  <c r="M137" i="2" s="1"/>
  <c r="L134" i="2"/>
  <c r="M134" i="2" s="1"/>
  <c r="J128" i="2"/>
  <c r="K102" i="2"/>
  <c r="K101" i="2"/>
  <c r="L101" i="2" s="1"/>
  <c r="K100" i="2"/>
  <c r="K99" i="2"/>
  <c r="L99" i="2" s="1"/>
  <c r="M99" i="2" s="1"/>
  <c r="K98" i="2"/>
  <c r="K97" i="2"/>
  <c r="K96" i="2"/>
  <c r="L96" i="2" s="1"/>
  <c r="M96" i="2" s="1"/>
  <c r="K95" i="2"/>
  <c r="K94" i="2"/>
  <c r="K93" i="2"/>
  <c r="L93" i="2" s="1"/>
  <c r="M93" i="2" s="1"/>
  <c r="K92" i="2"/>
  <c r="K91" i="2"/>
  <c r="K90" i="2"/>
  <c r="L90" i="2" s="1"/>
  <c r="M90" i="2" s="1"/>
  <c r="K89" i="2"/>
  <c r="K88" i="2"/>
  <c r="K87" i="2"/>
  <c r="L87" i="2" s="1"/>
  <c r="M87" i="2" s="1"/>
  <c r="K86" i="2"/>
  <c r="K85" i="2"/>
  <c r="K84" i="2"/>
  <c r="L84" i="2" s="1"/>
  <c r="M84" i="2" s="1"/>
  <c r="K83" i="2"/>
  <c r="K82" i="2"/>
  <c r="K81" i="2"/>
  <c r="L81" i="2" s="1"/>
  <c r="M81" i="2" s="1"/>
  <c r="K80" i="2"/>
  <c r="K79" i="2"/>
  <c r="K78" i="2"/>
  <c r="L78" i="2" s="1"/>
  <c r="M78" i="2" s="1"/>
  <c r="K77" i="2"/>
  <c r="K76" i="2"/>
  <c r="K75" i="2"/>
  <c r="L75" i="2" s="1"/>
  <c r="M75" i="2" s="1"/>
  <c r="K74" i="2"/>
  <c r="K73" i="2"/>
  <c r="K72" i="2"/>
  <c r="L72" i="2" s="1"/>
  <c r="M72" i="2" s="1"/>
  <c r="K71" i="2"/>
  <c r="I70" i="2"/>
  <c r="K70" i="2" s="1"/>
  <c r="I69" i="2"/>
  <c r="K69" i="2" s="1"/>
  <c r="L69" i="2" s="1"/>
  <c r="K68" i="2"/>
  <c r="L68" i="2" s="1"/>
  <c r="M68" i="2" s="1"/>
  <c r="K67" i="2"/>
  <c r="K66" i="2"/>
  <c r="K65" i="2"/>
  <c r="L65" i="2" s="1"/>
  <c r="M65" i="2" s="1"/>
  <c r="K64" i="2"/>
  <c r="L64" i="2" s="1"/>
  <c r="K63" i="2"/>
  <c r="K62" i="2"/>
  <c r="L62" i="2" s="1"/>
  <c r="M62" i="2" s="1"/>
  <c r="K61" i="2"/>
  <c r="K60" i="2"/>
  <c r="K59" i="2"/>
  <c r="L59" i="2" s="1"/>
  <c r="M59" i="2" s="1"/>
  <c r="K58" i="2"/>
  <c r="K57" i="2"/>
  <c r="K56" i="2"/>
  <c r="L56" i="2" s="1"/>
  <c r="M56" i="2" s="1"/>
  <c r="K55" i="2"/>
  <c r="K54" i="2"/>
  <c r="K53" i="2"/>
  <c r="L53" i="2" s="1"/>
  <c r="M53" i="2" s="1"/>
  <c r="K52" i="2"/>
  <c r="K51" i="2"/>
  <c r="K50" i="2"/>
  <c r="L50" i="2" s="1"/>
  <c r="M50" i="2" s="1"/>
  <c r="K49" i="2"/>
  <c r="K48" i="2"/>
  <c r="K47" i="2"/>
  <c r="L47" i="2" s="1"/>
  <c r="M47" i="2" s="1"/>
  <c r="K46" i="2"/>
  <c r="L46" i="2" s="1"/>
  <c r="K45" i="2"/>
  <c r="K44" i="2"/>
  <c r="L44" i="2" s="1"/>
  <c r="M44" i="2" s="1"/>
  <c r="K43" i="2"/>
  <c r="L43" i="2" s="1"/>
  <c r="K42" i="2"/>
  <c r="K41" i="2"/>
  <c r="L41" i="2" s="1"/>
  <c r="M41" i="2" s="1"/>
  <c r="K40" i="2"/>
  <c r="K39" i="2"/>
  <c r="K38" i="2"/>
  <c r="L38" i="2" s="1"/>
  <c r="M38" i="2" s="1"/>
  <c r="K37" i="2"/>
  <c r="K36" i="2"/>
  <c r="K35" i="2"/>
  <c r="L35" i="2" s="1"/>
  <c r="M35" i="2" s="1"/>
  <c r="K34" i="2"/>
  <c r="L34" i="2" s="1"/>
  <c r="K33" i="2"/>
  <c r="K32" i="2"/>
  <c r="L32" i="2" s="1"/>
  <c r="M32" i="2" s="1"/>
  <c r="K31" i="2"/>
  <c r="K30" i="2"/>
  <c r="K29" i="2"/>
  <c r="L29" i="2" s="1"/>
  <c r="M29" i="2" s="1"/>
  <c r="K28" i="2"/>
  <c r="K27" i="2"/>
  <c r="K26" i="2"/>
  <c r="L26" i="2" s="1"/>
  <c r="M26" i="2" s="1"/>
  <c r="K25" i="2"/>
  <c r="K24" i="2"/>
  <c r="K23" i="2"/>
  <c r="L23" i="2" s="1"/>
  <c r="M23" i="2" s="1"/>
  <c r="K22" i="2"/>
  <c r="L22" i="2" s="1"/>
  <c r="K21" i="2"/>
  <c r="K20" i="2"/>
  <c r="L20" i="2" s="1"/>
  <c r="M20" i="2" s="1"/>
  <c r="K19" i="2"/>
  <c r="K18" i="2"/>
  <c r="K17" i="2"/>
  <c r="L17" i="2" s="1"/>
  <c r="M17" i="2" s="1"/>
  <c r="K16" i="2"/>
  <c r="K15" i="2"/>
  <c r="K14" i="2"/>
  <c r="L14" i="2" s="1"/>
  <c r="M14" i="2" s="1"/>
  <c r="K13" i="2"/>
  <c r="K12" i="2"/>
  <c r="K11" i="2"/>
  <c r="L11" i="2" s="1"/>
  <c r="M11" i="2" s="1"/>
  <c r="K10" i="2"/>
  <c r="K9" i="2"/>
  <c r="N128" i="2"/>
  <c r="K8" i="2"/>
  <c r="L8" i="2" s="1"/>
  <c r="M8" i="2" s="1"/>
  <c r="K7" i="2"/>
  <c r="L7" i="2" s="1"/>
  <c r="K6" i="2"/>
  <c r="K5" i="2"/>
  <c r="L5" i="2" s="1"/>
  <c r="M5" i="2" s="1"/>
  <c r="K4" i="2"/>
  <c r="L4" i="2" s="1"/>
  <c r="K3" i="2"/>
  <c r="H183" i="1"/>
  <c r="F183" i="1"/>
  <c r="I182" i="1"/>
  <c r="I181" i="1"/>
  <c r="I180" i="1"/>
  <c r="J180" i="1" s="1"/>
  <c r="K180" i="1" s="1"/>
  <c r="I179" i="1"/>
  <c r="I178" i="1"/>
  <c r="I177" i="1"/>
  <c r="I176" i="1"/>
  <c r="I175" i="1"/>
  <c r="I174" i="1"/>
  <c r="J174" i="1" s="1"/>
  <c r="I173" i="1"/>
  <c r="I172" i="1"/>
  <c r="I171" i="1"/>
  <c r="I170" i="1"/>
  <c r="J170" i="1" s="1"/>
  <c r="I169" i="1"/>
  <c r="I168" i="1"/>
  <c r="J168" i="1" s="1"/>
  <c r="K168" i="1" s="1"/>
  <c r="I167" i="1"/>
  <c r="I166" i="1"/>
  <c r="J166" i="1" s="1"/>
  <c r="I165" i="1"/>
  <c r="I164" i="1"/>
  <c r="I163" i="1"/>
  <c r="I162" i="1"/>
  <c r="J162" i="1" s="1"/>
  <c r="I161" i="1"/>
  <c r="I160" i="1"/>
  <c r="J160" i="1" s="1"/>
  <c r="K160" i="1" s="1"/>
  <c r="I159" i="1"/>
  <c r="I158" i="1"/>
  <c r="I157" i="1"/>
  <c r="I156" i="1"/>
  <c r="I155" i="1"/>
  <c r="I154" i="1"/>
  <c r="J154" i="1" s="1"/>
  <c r="I153" i="1"/>
  <c r="I152" i="1"/>
  <c r="J152" i="1" s="1"/>
  <c r="K152" i="1" s="1"/>
  <c r="I151" i="1"/>
  <c r="I150" i="1"/>
  <c r="I149" i="1"/>
  <c r="J149" i="1" s="1"/>
  <c r="I148" i="1"/>
  <c r="I147" i="1"/>
  <c r="I146" i="1"/>
  <c r="J146" i="1" s="1"/>
  <c r="I145" i="1"/>
  <c r="I144" i="1"/>
  <c r="J144" i="1" s="1"/>
  <c r="K144" i="1" s="1"/>
  <c r="I143" i="1"/>
  <c r="I142" i="1"/>
  <c r="I141" i="1"/>
  <c r="J141" i="1" s="1"/>
  <c r="I140" i="1"/>
  <c r="I139" i="1"/>
  <c r="I138" i="1"/>
  <c r="J138" i="1" s="1"/>
  <c r="I137" i="1"/>
  <c r="J137" i="1" s="1"/>
  <c r="I136" i="1"/>
  <c r="J136" i="1" s="1"/>
  <c r="K136" i="1" s="1"/>
  <c r="I134" i="1"/>
  <c r="I133" i="1"/>
  <c r="I132" i="1"/>
  <c r="I131" i="1"/>
  <c r="I130" i="1"/>
  <c r="I129" i="1"/>
  <c r="I128" i="1"/>
  <c r="I127" i="1"/>
  <c r="J127" i="1" s="1"/>
  <c r="K127" i="1" s="1"/>
  <c r="I126" i="1"/>
  <c r="J126" i="1" s="1"/>
  <c r="I125" i="1"/>
  <c r="J125" i="1" s="1"/>
  <c r="I124" i="1"/>
  <c r="J124" i="1" s="1"/>
  <c r="I123" i="1"/>
  <c r="J123" i="1" s="1"/>
  <c r="I122" i="1"/>
  <c r="I121" i="1"/>
  <c r="I120" i="1"/>
  <c r="I118" i="1"/>
  <c r="J118" i="1" s="1"/>
  <c r="K118" i="1" s="1"/>
  <c r="I117" i="1"/>
  <c r="J117" i="1" s="1"/>
  <c r="I110" i="1"/>
  <c r="J110" i="1" s="1"/>
  <c r="I109" i="1"/>
  <c r="I108" i="1"/>
  <c r="I107" i="1"/>
  <c r="I106" i="1"/>
  <c r="J106" i="1" s="1"/>
  <c r="I105" i="1"/>
  <c r="I104" i="1"/>
  <c r="J104" i="1" s="1"/>
  <c r="I103" i="1"/>
  <c r="I102" i="1"/>
  <c r="I101" i="1"/>
  <c r="J101" i="1" s="1"/>
  <c r="I100" i="1"/>
  <c r="J100" i="1" s="1"/>
  <c r="I98" i="1"/>
  <c r="I97" i="1"/>
  <c r="J97" i="1" s="1"/>
  <c r="I96" i="1"/>
  <c r="I95" i="1"/>
  <c r="I94" i="1"/>
  <c r="J94" i="1" s="1"/>
  <c r="I93" i="1"/>
  <c r="I92" i="1"/>
  <c r="I91" i="1"/>
  <c r="I90" i="1"/>
  <c r="J90" i="1" s="1"/>
  <c r="I89" i="1"/>
  <c r="I88" i="1"/>
  <c r="I87" i="1"/>
  <c r="J87" i="1" s="1"/>
  <c r="I86" i="1"/>
  <c r="I85" i="1"/>
  <c r="I84" i="1"/>
  <c r="I83" i="1"/>
  <c r="I82" i="1"/>
  <c r="J82" i="1" s="1"/>
  <c r="I81" i="1"/>
  <c r="J81" i="1" s="1"/>
  <c r="I80" i="1"/>
  <c r="J80" i="1" s="1"/>
  <c r="K80" i="1" s="1"/>
  <c r="I79" i="1"/>
  <c r="J79" i="1" s="1"/>
  <c r="I76" i="1"/>
  <c r="J76" i="1" s="1"/>
  <c r="I75" i="1"/>
  <c r="I74" i="1"/>
  <c r="J74" i="1" s="1"/>
  <c r="I73" i="1"/>
  <c r="I72" i="1"/>
  <c r="I71" i="1"/>
  <c r="I70" i="1"/>
  <c r="I69" i="1"/>
  <c r="J69" i="1" s="1"/>
  <c r="I68" i="1"/>
  <c r="I67" i="1"/>
  <c r="J67" i="1" s="1"/>
  <c r="I66" i="1"/>
  <c r="J66" i="1" s="1"/>
  <c r="I65" i="1"/>
  <c r="I64" i="1"/>
  <c r="I63" i="1"/>
  <c r="I62" i="1"/>
  <c r="J62" i="1" s="1"/>
  <c r="I61" i="1"/>
  <c r="J61" i="1" s="1"/>
  <c r="I60" i="1"/>
  <c r="I59" i="1"/>
  <c r="I58" i="1"/>
  <c r="I57" i="1"/>
  <c r="J57" i="1" s="1"/>
  <c r="I56" i="1"/>
  <c r="I55" i="1"/>
  <c r="I54" i="1"/>
  <c r="I53" i="1"/>
  <c r="J53" i="1" s="1"/>
  <c r="I52" i="1"/>
  <c r="I51" i="1"/>
  <c r="I50" i="1"/>
  <c r="J50" i="1" s="1"/>
  <c r="I49" i="1"/>
  <c r="I48" i="1"/>
  <c r="I47" i="1"/>
  <c r="I46" i="1"/>
  <c r="I45" i="1"/>
  <c r="I44" i="1"/>
  <c r="J44" i="1" s="1"/>
  <c r="I43" i="1"/>
  <c r="I42" i="1"/>
  <c r="J42" i="1" s="1"/>
  <c r="I41" i="1"/>
  <c r="I40" i="1"/>
  <c r="I39" i="1"/>
  <c r="I38" i="1"/>
  <c r="J38" i="1" s="1"/>
  <c r="I37" i="1"/>
  <c r="J37" i="1" s="1"/>
  <c r="I36" i="1"/>
  <c r="I35" i="1"/>
  <c r="I34" i="1"/>
  <c r="I33" i="1"/>
  <c r="I32" i="1"/>
  <c r="I31" i="1"/>
  <c r="I30" i="1"/>
  <c r="J30" i="1" s="1"/>
  <c r="I29" i="1"/>
  <c r="J29" i="1" s="1"/>
  <c r="I28" i="1"/>
  <c r="J28" i="1" s="1"/>
  <c r="I27" i="1"/>
  <c r="I26" i="1"/>
  <c r="I25" i="1"/>
  <c r="I24" i="1"/>
  <c r="I23" i="1"/>
  <c r="I22" i="1"/>
  <c r="J22" i="1" s="1"/>
  <c r="I21" i="1"/>
  <c r="I20" i="1"/>
  <c r="J20" i="1" s="1"/>
  <c r="K20" i="1" s="1"/>
  <c r="I19" i="1"/>
  <c r="I18" i="1"/>
  <c r="I17" i="1"/>
  <c r="I16" i="1"/>
  <c r="J16" i="1" s="1"/>
  <c r="K16" i="1" s="1"/>
  <c r="I15" i="1"/>
  <c r="I14" i="1"/>
  <c r="I13" i="1"/>
  <c r="I12" i="1"/>
  <c r="J12" i="1" s="1"/>
  <c r="K12" i="1" s="1"/>
  <c r="I10" i="1"/>
  <c r="J10" i="1" s="1"/>
  <c r="I9" i="1"/>
  <c r="I8" i="1"/>
  <c r="I7" i="1"/>
  <c r="J7" i="1" s="1"/>
  <c r="K7" i="1" s="1"/>
  <c r="I4" i="1"/>
  <c r="I3" i="1"/>
  <c r="J3" i="1" s="1"/>
  <c r="M145" i="2" l="1"/>
  <c r="J88" i="1"/>
  <c r="K88" i="1" s="1"/>
  <c r="J70" i="1"/>
  <c r="K70" i="1" s="1"/>
  <c r="K104" i="1"/>
  <c r="J95" i="1"/>
  <c r="K95" i="1" s="1"/>
  <c r="J176" i="1"/>
  <c r="K176" i="1" s="1"/>
  <c r="L102" i="2"/>
  <c r="M102" i="2" s="1"/>
  <c r="M7" i="2"/>
  <c r="M43" i="2"/>
  <c r="L13" i="2"/>
  <c r="M13" i="2" s="1"/>
  <c r="L25" i="2"/>
  <c r="M25" i="2" s="1"/>
  <c r="L31" i="2"/>
  <c r="M31" i="2" s="1"/>
  <c r="L55" i="2"/>
  <c r="M55" i="2" s="1"/>
  <c r="L67" i="2"/>
  <c r="M67" i="2" s="1"/>
  <c r="M139" i="2"/>
  <c r="M69" i="2"/>
  <c r="L10" i="2"/>
  <c r="M10" i="2" s="1"/>
  <c r="L58" i="2"/>
  <c r="M58" i="2" s="1"/>
  <c r="M4" i="2"/>
  <c r="L19" i="2"/>
  <c r="M19" i="2" s="1"/>
  <c r="L37" i="2"/>
  <c r="M37" i="2" s="1"/>
  <c r="L49" i="2"/>
  <c r="M49" i="2" s="1"/>
  <c r="L61" i="2"/>
  <c r="M61" i="2" s="1"/>
  <c r="M22" i="2"/>
  <c r="M34" i="2"/>
  <c r="M46" i="2"/>
  <c r="M64" i="2"/>
  <c r="L16" i="2"/>
  <c r="M16" i="2" s="1"/>
  <c r="L28" i="2"/>
  <c r="M28" i="2" s="1"/>
  <c r="L40" i="2"/>
  <c r="M40" i="2" s="1"/>
  <c r="L52" i="2"/>
  <c r="M52" i="2" s="1"/>
  <c r="L70" i="2"/>
  <c r="M70" i="2" s="1"/>
  <c r="L73" i="2"/>
  <c r="M73" i="2" s="1"/>
  <c r="L76" i="2"/>
  <c r="M76" i="2" s="1"/>
  <c r="L79" i="2"/>
  <c r="M79" i="2" s="1"/>
  <c r="L82" i="2"/>
  <c r="M82" i="2" s="1"/>
  <c r="L85" i="2"/>
  <c r="M85" i="2" s="1"/>
  <c r="L88" i="2"/>
  <c r="M88" i="2" s="1"/>
  <c r="L91" i="2"/>
  <c r="M91" i="2" s="1"/>
  <c r="L94" i="2"/>
  <c r="M94" i="2" s="1"/>
  <c r="L97" i="2"/>
  <c r="M97" i="2" s="1"/>
  <c r="L100" i="2"/>
  <c r="M100" i="2" s="1"/>
  <c r="L71" i="2"/>
  <c r="M71" i="2" s="1"/>
  <c r="L74" i="2"/>
  <c r="M74" i="2" s="1"/>
  <c r="L77" i="2"/>
  <c r="M77" i="2" s="1"/>
  <c r="L80" i="2"/>
  <c r="M80" i="2" s="1"/>
  <c r="L83" i="2"/>
  <c r="M83" i="2" s="1"/>
  <c r="L86" i="2"/>
  <c r="M86" i="2" s="1"/>
  <c r="L89" i="2"/>
  <c r="M89" i="2" s="1"/>
  <c r="L92" i="2"/>
  <c r="M92" i="2" s="1"/>
  <c r="L95" i="2"/>
  <c r="M95" i="2" s="1"/>
  <c r="L98" i="2"/>
  <c r="M98" i="2" s="1"/>
  <c r="L3" i="2"/>
  <c r="L6" i="2"/>
  <c r="M6" i="2" s="1"/>
  <c r="M101" i="2"/>
  <c r="L15" i="2"/>
  <c r="M15" i="2" s="1"/>
  <c r="L24" i="2"/>
  <c r="M24" i="2" s="1"/>
  <c r="L33" i="2"/>
  <c r="M33" i="2" s="1"/>
  <c r="L39" i="2"/>
  <c r="M39" i="2" s="1"/>
  <c r="L42" i="2"/>
  <c r="M42" i="2" s="1"/>
  <c r="L45" i="2"/>
  <c r="M45" i="2" s="1"/>
  <c r="L48" i="2"/>
  <c r="M48" i="2" s="1"/>
  <c r="L54" i="2"/>
  <c r="M54" i="2" s="1"/>
  <c r="L57" i="2"/>
  <c r="M57" i="2" s="1"/>
  <c r="L60" i="2"/>
  <c r="M60" i="2" s="1"/>
  <c r="L63" i="2"/>
  <c r="M63" i="2" s="1"/>
  <c r="L66" i="2"/>
  <c r="M66" i="2" s="1"/>
  <c r="K128" i="2"/>
  <c r="L9" i="2"/>
  <c r="M9" i="2" s="1"/>
  <c r="L12" i="2"/>
  <c r="M12" i="2" s="1"/>
  <c r="L18" i="2"/>
  <c r="M18" i="2" s="1"/>
  <c r="L21" i="2"/>
  <c r="M21" i="2" s="1"/>
  <c r="L27" i="2"/>
  <c r="M27" i="2" s="1"/>
  <c r="L30" i="2"/>
  <c r="M30" i="2" s="1"/>
  <c r="L36" i="2"/>
  <c r="M36" i="2" s="1"/>
  <c r="L51" i="2"/>
  <c r="M51" i="2" s="1"/>
  <c r="J59" i="1"/>
  <c r="K59" i="1" s="1"/>
  <c r="K66" i="1"/>
  <c r="J84" i="1"/>
  <c r="K84" i="1" s="1"/>
  <c r="J108" i="1"/>
  <c r="K108" i="1" s="1"/>
  <c r="K74" i="1"/>
  <c r="K100" i="1"/>
  <c r="K123" i="1"/>
  <c r="J131" i="1"/>
  <c r="K131" i="1" s="1"/>
  <c r="J140" i="1"/>
  <c r="K140" i="1" s="1"/>
  <c r="J148" i="1"/>
  <c r="K148" i="1" s="1"/>
  <c r="J156" i="1"/>
  <c r="K156" i="1" s="1"/>
  <c r="J164" i="1"/>
  <c r="K164" i="1" s="1"/>
  <c r="J172" i="1"/>
  <c r="K172" i="1" s="1"/>
  <c r="J24" i="1"/>
  <c r="K24" i="1" s="1"/>
  <c r="J40" i="1"/>
  <c r="K40" i="1" s="1"/>
  <c r="J56" i="1"/>
  <c r="K56" i="1" s="1"/>
  <c r="J96" i="1"/>
  <c r="K96" i="1" s="1"/>
  <c r="J153" i="1"/>
  <c r="K153" i="1" s="1"/>
  <c r="J8" i="1"/>
  <c r="K8" i="1" s="1"/>
  <c r="J132" i="1"/>
  <c r="K132" i="1" s="1"/>
  <c r="J177" i="1"/>
  <c r="K177" i="1" s="1"/>
  <c r="J120" i="1"/>
  <c r="K120" i="1" s="1"/>
  <c r="J92" i="1"/>
  <c r="K92" i="1" s="1"/>
  <c r="J36" i="1"/>
  <c r="K36" i="1" s="1"/>
  <c r="J52" i="1"/>
  <c r="K52" i="1" s="1"/>
  <c r="J71" i="1"/>
  <c r="K71" i="1" s="1"/>
  <c r="J157" i="1"/>
  <c r="K157" i="1" s="1"/>
  <c r="J13" i="1"/>
  <c r="K13" i="1" s="1"/>
  <c r="K28" i="1"/>
  <c r="K44" i="1"/>
  <c r="J173" i="1"/>
  <c r="K173" i="1" s="1"/>
  <c r="J60" i="1"/>
  <c r="K60" i="1" s="1"/>
  <c r="J109" i="1"/>
  <c r="K109" i="1" s="1"/>
  <c r="J32" i="1"/>
  <c r="K32" i="1" s="1"/>
  <c r="J48" i="1"/>
  <c r="K48" i="1" s="1"/>
  <c r="J161" i="1"/>
  <c r="K161" i="1" s="1"/>
  <c r="J17" i="1"/>
  <c r="K17" i="1" s="1"/>
  <c r="J75" i="1"/>
  <c r="K75" i="1" s="1"/>
  <c r="J169" i="1"/>
  <c r="K169" i="1" s="1"/>
  <c r="J105" i="1"/>
  <c r="K105" i="1" s="1"/>
  <c r="K141" i="1"/>
  <c r="J85" i="1"/>
  <c r="K85" i="1" s="1"/>
  <c r="J63" i="1"/>
  <c r="K63" i="1" s="1"/>
  <c r="K149" i="1"/>
  <c r="K101" i="1"/>
  <c r="J128" i="1"/>
  <c r="K128" i="1" s="1"/>
  <c r="K81" i="1"/>
  <c r="K137" i="1"/>
  <c r="J165" i="1"/>
  <c r="K165" i="1" s="1"/>
  <c r="J181" i="1"/>
  <c r="K181" i="1" s="1"/>
  <c r="K67" i="1"/>
  <c r="J89" i="1"/>
  <c r="K89" i="1" s="1"/>
  <c r="K124" i="1"/>
  <c r="J145" i="1"/>
  <c r="K145" i="1" s="1"/>
  <c r="J25" i="1"/>
  <c r="K25" i="1" s="1"/>
  <c r="J41" i="1"/>
  <c r="K41" i="1" s="1"/>
  <c r="J49" i="1"/>
  <c r="K49" i="1" s="1"/>
  <c r="K37" i="1"/>
  <c r="K53" i="1"/>
  <c r="J68" i="1"/>
  <c r="K68" i="1" s="1"/>
  <c r="J86" i="1"/>
  <c r="K86" i="1" s="1"/>
  <c r="J102" i="1"/>
  <c r="K102" i="1" s="1"/>
  <c r="J129" i="1"/>
  <c r="K129" i="1" s="1"/>
  <c r="J158" i="1"/>
  <c r="K158" i="1" s="1"/>
  <c r="J178" i="1"/>
  <c r="K178" i="1" s="1"/>
  <c r="J18" i="1"/>
  <c r="K18" i="1" s="1"/>
  <c r="K61" i="1"/>
  <c r="K76" i="1"/>
  <c r="K90" i="1"/>
  <c r="K106" i="1"/>
  <c r="K125" i="1"/>
  <c r="K138" i="1"/>
  <c r="K146" i="1"/>
  <c r="K166" i="1"/>
  <c r="K174" i="1"/>
  <c r="K3" i="1"/>
  <c r="J26" i="1"/>
  <c r="K26" i="1" s="1"/>
  <c r="J46" i="1"/>
  <c r="K46" i="1" s="1"/>
  <c r="K22" i="1"/>
  <c r="K30" i="1"/>
  <c r="K42" i="1"/>
  <c r="K50" i="1"/>
  <c r="J58" i="1"/>
  <c r="K58" i="1" s="1"/>
  <c r="J65" i="1"/>
  <c r="K65" i="1" s="1"/>
  <c r="J73" i="1"/>
  <c r="K73" i="1" s="1"/>
  <c r="J83" i="1"/>
  <c r="K83" i="1" s="1"/>
  <c r="J91" i="1"/>
  <c r="K91" i="1" s="1"/>
  <c r="J98" i="1"/>
  <c r="K98" i="1" s="1"/>
  <c r="J107" i="1"/>
  <c r="K107" i="1" s="1"/>
  <c r="J122" i="1"/>
  <c r="K122" i="1" s="1"/>
  <c r="J130" i="1"/>
  <c r="K130" i="1" s="1"/>
  <c r="J139" i="1"/>
  <c r="K139" i="1" s="1"/>
  <c r="J143" i="1"/>
  <c r="K143" i="1" s="1"/>
  <c r="J151" i="1"/>
  <c r="K151" i="1" s="1"/>
  <c r="J155" i="1"/>
  <c r="K155" i="1" s="1"/>
  <c r="J159" i="1"/>
  <c r="K159" i="1" s="1"/>
  <c r="J163" i="1"/>
  <c r="K163" i="1" s="1"/>
  <c r="J167" i="1"/>
  <c r="K167" i="1" s="1"/>
  <c r="J171" i="1"/>
  <c r="K171" i="1" s="1"/>
  <c r="J179" i="1"/>
  <c r="K179" i="1" s="1"/>
  <c r="J4" i="1"/>
  <c r="K4" i="1" s="1"/>
  <c r="J15" i="1"/>
  <c r="K15" i="1" s="1"/>
  <c r="J19" i="1"/>
  <c r="K19" i="1" s="1"/>
  <c r="K62" i="1"/>
  <c r="K69" i="1"/>
  <c r="K79" i="1"/>
  <c r="K87" i="1"/>
  <c r="K94" i="1"/>
  <c r="K117" i="1"/>
  <c r="K126" i="1"/>
  <c r="I183" i="1"/>
  <c r="J21" i="1"/>
  <c r="K21" i="1" s="1"/>
  <c r="J33" i="1"/>
  <c r="K33" i="1" s="1"/>
  <c r="J45" i="1"/>
  <c r="K45" i="1" s="1"/>
  <c r="K29" i="1"/>
  <c r="J93" i="1"/>
  <c r="K93" i="1" s="1"/>
  <c r="J121" i="1"/>
  <c r="K121" i="1" s="1"/>
  <c r="J142" i="1"/>
  <c r="K142" i="1" s="1"/>
  <c r="J182" i="1"/>
  <c r="K182" i="1" s="1"/>
  <c r="J14" i="1"/>
  <c r="K14" i="1" s="1"/>
  <c r="K57" i="1"/>
  <c r="K82" i="1"/>
  <c r="K97" i="1"/>
  <c r="K110" i="1"/>
  <c r="K154" i="1"/>
  <c r="K162" i="1"/>
  <c r="K170" i="1"/>
  <c r="J34" i="1"/>
  <c r="K34" i="1" s="1"/>
  <c r="J54" i="1"/>
  <c r="K54" i="1" s="1"/>
  <c r="K38" i="1"/>
  <c r="J103" i="1"/>
  <c r="K103" i="1" s="1"/>
  <c r="J134" i="1"/>
  <c r="K134" i="1" s="1"/>
  <c r="J147" i="1"/>
  <c r="K147" i="1" s="1"/>
  <c r="J175" i="1"/>
  <c r="K175" i="1" s="1"/>
  <c r="K10" i="1"/>
  <c r="J23" i="1"/>
  <c r="K23" i="1" s="1"/>
  <c r="J27" i="1"/>
  <c r="K27" i="1" s="1"/>
  <c r="J31" i="1"/>
  <c r="K31" i="1" s="1"/>
  <c r="J35" i="1"/>
  <c r="K35" i="1" s="1"/>
  <c r="J39" i="1"/>
  <c r="K39" i="1" s="1"/>
  <c r="J43" i="1"/>
  <c r="K43" i="1" s="1"/>
  <c r="J47" i="1"/>
  <c r="K47" i="1" s="1"/>
  <c r="J51" i="1"/>
  <c r="K51" i="1" s="1"/>
  <c r="J55" i="1"/>
  <c r="K55" i="1" s="1"/>
  <c r="J64" i="1"/>
  <c r="K64" i="1" s="1"/>
  <c r="J72" i="1"/>
  <c r="K72" i="1" s="1"/>
  <c r="J133" i="1"/>
  <c r="K133" i="1" s="1"/>
  <c r="J150" i="1"/>
  <c r="K150" i="1" s="1"/>
  <c r="J9" i="1"/>
  <c r="K9" i="1" s="1"/>
  <c r="L128" i="2" l="1"/>
  <c r="M3" i="2"/>
  <c r="O128" i="2"/>
  <c r="J183" i="1"/>
  <c r="K183" i="1"/>
  <c r="M128" i="2" l="1"/>
</calcChain>
</file>

<file path=xl/sharedStrings.xml><?xml version="1.0" encoding="utf-8"?>
<sst xmlns="http://schemas.openxmlformats.org/spreadsheetml/2006/main" count="1292" uniqueCount="228">
  <si>
    <t>التاريخ</t>
  </si>
  <si>
    <t>رقم الفاتورة</t>
  </si>
  <si>
    <t>المندوب</t>
  </si>
  <si>
    <t>اسم العميل</t>
  </si>
  <si>
    <t>بيان الصنف</t>
  </si>
  <si>
    <t>العدد بالكرتون</t>
  </si>
  <si>
    <t>سعر الوحدة</t>
  </si>
  <si>
    <t>الكمية كرتون / وزن</t>
  </si>
  <si>
    <t>المبلغ قبل الضريبة</t>
  </si>
  <si>
    <t>الضريبة</t>
  </si>
  <si>
    <t>المبلغ بعد الضريبة</t>
  </si>
  <si>
    <t>حالة التحصيل</t>
  </si>
  <si>
    <t>كاش / تحويل بنكي</t>
  </si>
  <si>
    <t>محمود</t>
  </si>
  <si>
    <t>فيل ليجز هندي العالي</t>
  </si>
  <si>
    <t>مرتجع</t>
  </si>
  <si>
    <t>شاورما دجاج AJC</t>
  </si>
  <si>
    <t>شركة البضائع المتعددة</t>
  </si>
  <si>
    <t>فيل ليجز هندي الكامل</t>
  </si>
  <si>
    <t>شركة ثلاجة البراق التجارية</t>
  </si>
  <si>
    <t>شركة الأغذية المتميزة</t>
  </si>
  <si>
    <t>بوبي فيل هندي الكامل</t>
  </si>
  <si>
    <t>شاورما دجاج لارا</t>
  </si>
  <si>
    <t>تندر ليون برازيلي مينرفا</t>
  </si>
  <si>
    <t>فيليه عجل هندي الكامل</t>
  </si>
  <si>
    <t>فيلية برازيلي فري بوي</t>
  </si>
  <si>
    <t>لحم حمل لامب افكو</t>
  </si>
  <si>
    <t>فيل ليجز هندي مينت</t>
  </si>
  <si>
    <t>فيل ليجز هندي صاحبة</t>
  </si>
  <si>
    <t>مؤسسة كنز المحيط للتجارة</t>
  </si>
  <si>
    <t>فور كوارتر هندي ثمرة</t>
  </si>
  <si>
    <t>شركة مجمدات الريف التجارية</t>
  </si>
  <si>
    <t>المشتريات شركة كادي</t>
  </si>
  <si>
    <t>مشتريات سريعة</t>
  </si>
  <si>
    <t>المورد</t>
  </si>
  <si>
    <t>البيان</t>
  </si>
  <si>
    <t>الوحدة</t>
  </si>
  <si>
    <t>الكمية وارد</t>
  </si>
  <si>
    <t>اجمالي قبل الضريبة</t>
  </si>
  <si>
    <t>اجمالي بعد الضريبة</t>
  </si>
  <si>
    <t>المبلغ المسدد</t>
  </si>
  <si>
    <t>باقي</t>
  </si>
  <si>
    <t>مدة بقاء البضاعة في المخزن</t>
  </si>
  <si>
    <t>شركة الاهرام المتحدة التجارية</t>
  </si>
  <si>
    <t>ارجل دجاج انتاج</t>
  </si>
  <si>
    <t>كرتون</t>
  </si>
  <si>
    <t>سريع</t>
  </si>
  <si>
    <t>شركة مجمدات الريف</t>
  </si>
  <si>
    <t>فيليه بقر الكامل رقم 31</t>
  </si>
  <si>
    <t>مؤسسة نور الباسقات</t>
  </si>
  <si>
    <t>بوبي فيل التمام</t>
  </si>
  <si>
    <t>طاهي</t>
  </si>
  <si>
    <t>شركة نخبة الأفضل المتحدة</t>
  </si>
  <si>
    <t>سمك بنجاش مجمد</t>
  </si>
  <si>
    <t>شاورما دجاج ايفا</t>
  </si>
  <si>
    <t>ارجل دجاج أصول</t>
  </si>
  <si>
    <t>فيل ليج التمام</t>
  </si>
  <si>
    <t>شركة بيورفريز التجارية</t>
  </si>
  <si>
    <t>بطاطس مايسترو</t>
  </si>
  <si>
    <t>رول عجل هندي - مرجان</t>
  </si>
  <si>
    <t>رول عجل - الفاروق</t>
  </si>
  <si>
    <t>رول عجل مينت 18 كجم (فيل ليجز )</t>
  </si>
  <si>
    <t>بوبي فيل مينت</t>
  </si>
  <si>
    <t>ارجل دجاج أصول 10 كيلو</t>
  </si>
  <si>
    <t>شركة بداية ونهاية الجودة التجارية</t>
  </si>
  <si>
    <t>صدور دجاج AJC</t>
  </si>
  <si>
    <t>شركة الامبراطور</t>
  </si>
  <si>
    <t>كرشة غنم</t>
  </si>
  <si>
    <t>فيلية عجل هندي الكامل ( تندليون )</t>
  </si>
  <si>
    <t>فيل ليج هندي العالي</t>
  </si>
  <si>
    <t>فيل ليج هندي صاحبة</t>
  </si>
  <si>
    <t>فيل ليج هندي عمبر</t>
  </si>
  <si>
    <t>فيل ليج هندي الذوق</t>
  </si>
  <si>
    <t>شركة الطعام الموحد</t>
  </si>
  <si>
    <t>صدور دجاج ايفا</t>
  </si>
  <si>
    <t>خروف 6 قطع استرالي</t>
  </si>
  <si>
    <t>كجم</t>
  </si>
  <si>
    <t>شركة صالح منصر العمودي</t>
  </si>
  <si>
    <t>فيل ليجز ALM</t>
  </si>
  <si>
    <t>مؤسسة عبدالمحسن صالح الحيدري</t>
  </si>
  <si>
    <t>بوبي فيل ثمرة</t>
  </si>
  <si>
    <t>فور كوارتر الانا</t>
  </si>
  <si>
    <t>شركة جملة سدرة التجارية</t>
  </si>
  <si>
    <t>فيليه عجل هندي رستم</t>
  </si>
  <si>
    <t>شركة سراج الاطعمه</t>
  </si>
  <si>
    <t>تندرليون فيليه عمبر</t>
  </si>
  <si>
    <t>تندرليون عمبر</t>
  </si>
  <si>
    <t>فور كوارتر هندي عمبر</t>
  </si>
  <si>
    <t>توب سايد فري بوي</t>
  </si>
  <si>
    <t>عجل مقطع افيكو نيوزلاندي</t>
  </si>
  <si>
    <t>فور كوارتر برازيلي</t>
  </si>
  <si>
    <t>فيليه عجل هندي صاحبة ( 99 )</t>
  </si>
  <si>
    <t>مشتريات نقدي بدون فاتورة</t>
  </si>
  <si>
    <t>لحم حمل موتون افكو</t>
  </si>
  <si>
    <t>توب سايد الكامل</t>
  </si>
  <si>
    <t>مؤسسة صالح عبدالمحسن الحيدري</t>
  </si>
  <si>
    <t>شاورما برازيلي يونف</t>
  </si>
  <si>
    <t>فور كوراتر رستم</t>
  </si>
  <si>
    <t>سلفر سايد رستم</t>
  </si>
  <si>
    <t>رامب ستيك رستم</t>
  </si>
  <si>
    <t>الفيمة قبل الضريبة</t>
  </si>
  <si>
    <t>مشتريات الكادي الربع الأول 2025</t>
  </si>
  <si>
    <t>مشتريات من اعمال مجان</t>
  </si>
  <si>
    <t>مبيعات شركة كادي الي طاهي</t>
  </si>
  <si>
    <t>مبيعات شركة كادي الي تطوير</t>
  </si>
  <si>
    <t>ضريبة مبيعات كادي</t>
  </si>
  <si>
    <t>تجريبي</t>
  </si>
  <si>
    <t>بعد التعديل 10%</t>
  </si>
  <si>
    <t>بعد التعديل 7%</t>
  </si>
  <si>
    <t>ضريبة مشتريات كادي</t>
  </si>
  <si>
    <t>الضريبة المستحقة للربع الأول 2026</t>
  </si>
  <si>
    <t>سلفر سايد هندي رستم</t>
  </si>
  <si>
    <t>شركة زاد نعمة للتجارة</t>
  </si>
  <si>
    <t>فيل ليجز هندي ALM</t>
  </si>
  <si>
    <t>فور كوارتر هندي رستم</t>
  </si>
  <si>
    <t>فور كوارتر هندي التمام</t>
  </si>
  <si>
    <t>فور كوارتر هندي الانا</t>
  </si>
  <si>
    <t>الشركة الاهرام المتحدة للتجارة</t>
  </si>
  <si>
    <t>شركة دجاج اسيا لخدمات الاعاشة</t>
  </si>
  <si>
    <t>شركة بسام الديرة</t>
  </si>
  <si>
    <t>عجل نيوزلندي افكو</t>
  </si>
  <si>
    <t>شركة الزاهر الوطنية</t>
  </si>
  <si>
    <t>ثك فلانك هندي الكامل</t>
  </si>
  <si>
    <t>رامب ستيك هندي الكامل</t>
  </si>
  <si>
    <t>فور كوارتر التمام</t>
  </si>
  <si>
    <t>فيل ليجز هندي عمبر</t>
  </si>
  <si>
    <t>شركة عاصمة الدجاج المحدودة</t>
  </si>
  <si>
    <t>لحم خروف الربع الامامي موتن</t>
  </si>
  <si>
    <t>مبيعات شهر ابريل</t>
  </si>
  <si>
    <t>شركة غذاء اليوم للنقل والتخزين</t>
  </si>
  <si>
    <t>افخاذ دجاج أصول</t>
  </si>
  <si>
    <t>مؤسسة عبدالعزيز احمد الزيلعي للمواد الغذائية</t>
  </si>
  <si>
    <t>توب سايد هندي الكامل</t>
  </si>
  <si>
    <t xml:space="preserve">لحم حمل الربع الامامي لامب </t>
  </si>
  <si>
    <t>شركة ورد العربية التجارية</t>
  </si>
  <si>
    <t>شركة إبراهيم فهد الجنيح</t>
  </si>
  <si>
    <t>خروف استرالي وامكو</t>
  </si>
  <si>
    <t>خروف استرالي 3 قطع وامكو</t>
  </si>
  <si>
    <t>فيليه بقر هندي الكامل (31)</t>
  </si>
  <si>
    <t>مؤسسة مطعم نور الحلبي</t>
  </si>
  <si>
    <t>شركة جملة سدرة</t>
  </si>
  <si>
    <t>خروف نيوزلندي 6 قطع افيكو</t>
  </si>
  <si>
    <t>فيل ليجز هندي التمام</t>
  </si>
  <si>
    <t>مؤسسة خالد سعود سعد السفري</t>
  </si>
  <si>
    <t>مقدم</t>
  </si>
  <si>
    <t>شركة الماهر الدولية للأغذية المحدودة</t>
  </si>
  <si>
    <t>لحم حمل نيوزلندي افكو لامب</t>
  </si>
  <si>
    <t>مؤسسة أعالي الأفق التجارية</t>
  </si>
  <si>
    <t>صدور فيليه المراعي</t>
  </si>
  <si>
    <t>شركة الزاهر الوطنية الحلقة</t>
  </si>
  <si>
    <t>رامب ستيك هندي رستم</t>
  </si>
  <si>
    <t>مؤسسة إسكندر كباب لتقديم الوجبات</t>
  </si>
  <si>
    <t>شركة سامح العربية</t>
  </si>
  <si>
    <t>شركة سلسة التوريدات التجارية</t>
  </si>
  <si>
    <t>حلول الفا</t>
  </si>
  <si>
    <t>شركة اكسال العالمية للتجارة</t>
  </si>
  <si>
    <t>شركة هلال العروس</t>
  </si>
  <si>
    <t>شركة الزاهر الوطنية التجارية</t>
  </si>
  <si>
    <t>تامر</t>
  </si>
  <si>
    <t>شركة محمود محمد حرسي للاعاشة</t>
  </si>
  <si>
    <t>مؤسسة فيصل الزهراني</t>
  </si>
  <si>
    <t>شركة حلول الفا للتجارة والمقاولات</t>
  </si>
  <si>
    <t>شركة نصيب جرين للتجارة</t>
  </si>
  <si>
    <t>جبنة برايد شرائح</t>
  </si>
  <si>
    <t>شركة سامح العربية للوجبات السريعة</t>
  </si>
  <si>
    <t>جبنة شرايح برايد</t>
  </si>
  <si>
    <t>شركة منية الدار</t>
  </si>
  <si>
    <t>شركة جوهرة الحياة التجارية</t>
  </si>
  <si>
    <t>شركة الرحاب المتحدة للمواد الغذائية</t>
  </si>
  <si>
    <t>فيليه بقر هندي الكامل ( 31 )</t>
  </si>
  <si>
    <t>ملحمة ماجد احمد طوري</t>
  </si>
  <si>
    <t>فيل ليجز هندي ثمرة</t>
  </si>
  <si>
    <t>لحم غنم 6 قطع افكو</t>
  </si>
  <si>
    <t>غنم 6 قطع افكو</t>
  </si>
  <si>
    <t>شركة الزاهر الوطنية التجارية ( الحلقة )</t>
  </si>
  <si>
    <t>شركة الامل التجارية</t>
  </si>
  <si>
    <t>شركة الغذاء الكامل للتجارة</t>
  </si>
  <si>
    <t>شركة واردات مضيق البسفور التجارية</t>
  </si>
  <si>
    <t>شركة النجمة الماهرة</t>
  </si>
  <si>
    <t>مؤسسة ذياب محمد عبدالرحمن الشهري</t>
  </si>
  <si>
    <t>شركة المجمدات المتميزة</t>
  </si>
  <si>
    <t>شركة المجمدات المتميزة التجارية</t>
  </si>
  <si>
    <t>شركة ورد العربية</t>
  </si>
  <si>
    <t>فيلية بقر هندي الكامل</t>
  </si>
  <si>
    <t>شركة سلسلة التوريدات التجارية</t>
  </si>
  <si>
    <t>شركة الأغذية المتميزة التجارية</t>
  </si>
  <si>
    <t>عام</t>
  </si>
  <si>
    <t>مؤسسة اعمال مجان</t>
  </si>
  <si>
    <t>فيل ليجز هندي الممتاز</t>
  </si>
  <si>
    <t>بوبي فيل هندي الممتاز</t>
  </si>
  <si>
    <t>لحم حمل نيوزلندي لامب</t>
  </si>
  <si>
    <t>فخدة كاملة هندي</t>
  </si>
  <si>
    <t>مبيعات شهر مايو</t>
  </si>
  <si>
    <t>شركة الامل للتجارة</t>
  </si>
  <si>
    <t>فيلية عجل هندي الكامل</t>
  </si>
  <si>
    <t>شركة الحميدي العالمية للأغذية المحدودة</t>
  </si>
  <si>
    <t>فيلية بقر هندي الكامل رقم ( 31 )</t>
  </si>
  <si>
    <t>بوبي فيل الممتاز</t>
  </si>
  <si>
    <t>فيل ليج الممتاز</t>
  </si>
  <si>
    <t>فيليه عجل الممتاز</t>
  </si>
  <si>
    <t>مؤسسة خالد سعود السفري</t>
  </si>
  <si>
    <t>مؤسسة طيبات الخليج للتجارة</t>
  </si>
  <si>
    <t>مؤسسة احمد علي حسن الغروي للتجارة</t>
  </si>
  <si>
    <t>شركة الزاهر الوطنية التجارية ( الجملة )</t>
  </si>
  <si>
    <t>شركة صفا البحر للتجارة</t>
  </si>
  <si>
    <t>شركة رضوي العربية لانتاج الدواجن والأغذية الفاخرة</t>
  </si>
  <si>
    <t>شركة الامل للتجارة الشهري</t>
  </si>
  <si>
    <t>فيليه عجل هندي ممتاز</t>
  </si>
  <si>
    <t>بوبي فيل هندي ممتاز</t>
  </si>
  <si>
    <t>شركة خلود عبدالله الدوسري التجارية</t>
  </si>
  <si>
    <t>مبيعات شهر يونيو</t>
  </si>
  <si>
    <t>مطعم حاشي الوفا لتقديم الوجبات</t>
  </si>
  <si>
    <t>فيل ليجز ثمرة</t>
  </si>
  <si>
    <t>شركة أزال التجارية</t>
  </si>
  <si>
    <t>شركة عزيمة سلوشنز</t>
  </si>
  <si>
    <t>خدمات اعاشة وضيافة</t>
  </si>
  <si>
    <t>شركة بوابة بلقيس للذهب والمجوهرات</t>
  </si>
  <si>
    <t>شركة تاجر مشهور التجارية</t>
  </si>
  <si>
    <t>دجاج مجمد أصول 800 جم</t>
  </si>
  <si>
    <t>خروف كامل لامب استرالي</t>
  </si>
  <si>
    <t>تندرليون برازيلي مينرفا</t>
  </si>
  <si>
    <t>فور كوارتر هندي اقرو</t>
  </si>
  <si>
    <t>مؤسسة عدي ماجد عيباني التجارية</t>
  </si>
  <si>
    <t>تندلوين برازيلي مينرفا</t>
  </si>
  <si>
    <t>فيليه بقر هندي اقرو</t>
  </si>
  <si>
    <t>شركة مفادة</t>
  </si>
  <si>
    <t>مؤسسة ثلاجة الجودة للمواد الغذائية</t>
  </si>
  <si>
    <t>سلفر سايد الكامل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</si>
</sst>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6" fontId="3" fillId="0" borderId="4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" fontId="3" fillId="0" borderId="3" xfId="0" applyNumberFormat="1" applyFont="1" applyBorder="1" applyAlignment="1">
      <alignment horizontal="center"/>
    </xf>
    <xf numFmtId="0" fontId="3" fillId="0" borderId="6" xfId="0" applyFont="1" applyBorder="1"/>
    <xf numFmtId="4" fontId="3" fillId="3" borderId="1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" fontId="3" fillId="6" borderId="3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2" fontId="3" fillId="6" borderId="3" xfId="0" applyNumberFormat="1" applyFont="1" applyFill="1" applyBorder="1" applyAlignment="1">
      <alignment horizontal="center"/>
    </xf>
    <xf numFmtId="0" fontId="3" fillId="6" borderId="6" xfId="0" applyFont="1" applyFill="1" applyBorder="1"/>
    <xf numFmtId="4" fontId="3" fillId="6" borderId="1" xfId="0" applyNumberFormat="1" applyFont="1" applyFill="1" applyBorder="1" applyAlignment="1">
      <alignment horizontal="center"/>
    </xf>
    <xf numFmtId="0" fontId="0" fillId="2" borderId="0" xfId="0" applyFill="1"/>
    <xf numFmtId="1" fontId="6" fillId="0" borderId="1" xfId="0" applyNumberFormat="1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" fontId="3" fillId="8" borderId="1" xfId="0" applyNumberFormat="1" applyFont="1" applyFill="1" applyBorder="1" applyAlignment="1">
      <alignment horizontal="center"/>
    </xf>
    <xf numFmtId="1" fontId="6" fillId="8" borderId="1" xfId="0" applyNumberFormat="1" applyFont="1" applyFill="1" applyBorder="1" applyAlignment="1">
      <alignment horizontal="center"/>
    </xf>
    <xf numFmtId="0" fontId="0" fillId="8" borderId="0" xfId="0" applyFill="1"/>
    <xf numFmtId="1" fontId="7" fillId="8" borderId="1" xfId="0" applyNumberFormat="1" applyFont="1" applyFill="1" applyBorder="1" applyAlignment="1">
      <alignment horizontal="center"/>
    </xf>
    <xf numFmtId="16" fontId="3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0" fontId="3" fillId="4" borderId="6" xfId="0" applyFont="1" applyFill="1" applyBorder="1"/>
    <xf numFmtId="4" fontId="3" fillId="4" borderId="1" xfId="0" applyNumberFormat="1" applyFont="1" applyFill="1" applyBorder="1" applyAlignment="1">
      <alignment horizontal="center"/>
    </xf>
    <xf numFmtId="0" fontId="3" fillId="5" borderId="6" xfId="0" applyFont="1" applyFill="1" applyBorder="1"/>
    <xf numFmtId="4" fontId="3" fillId="5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4" fontId="0" fillId="0" borderId="0" xfId="0" applyNumberFormat="1"/>
    <xf numFmtId="4" fontId="3" fillId="3" borderId="6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" fontId="3" fillId="4" borderId="6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3" fillId="4" borderId="5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4" fontId="3" fillId="9" borderId="5" xfId="0" applyNumberFormat="1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4" fontId="3" fillId="3" borderId="5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" fontId="3" fillId="10" borderId="5" xfId="0" applyNumberFormat="1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4" fontId="3" fillId="5" borderId="5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0" fillId="3" borderId="0" xfId="0" applyFill="1"/>
    <xf numFmtId="0" fontId="2" fillId="3" borderId="0" xfId="0" applyFont="1" applyFill="1"/>
    <xf numFmtId="0" fontId="2" fillId="11" borderId="7" xfId="0" applyFont="1" applyFill="1" applyBorder="1" applyAlignment="1">
      <alignment horizontal="center"/>
    </xf>
    <xf numFmtId="0" fontId="2" fillId="11" borderId="0" xfId="0" applyFont="1" applyFill="1"/>
    <xf numFmtId="4" fontId="3" fillId="11" borderId="5" xfId="0" applyNumberFormat="1" applyFont="1" applyFill="1" applyBorder="1" applyAlignment="1">
      <alignment horizontal="center"/>
    </xf>
    <xf numFmtId="0" fontId="0" fillId="11" borderId="0" xfId="0" applyFill="1"/>
    <xf numFmtId="164" fontId="3" fillId="8" borderId="3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4" fontId="3" fillId="8" borderId="5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10" borderId="0" xfId="0" applyFill="1"/>
    <xf numFmtId="4" fontId="3" fillId="11" borderId="6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4" fontId="3" fillId="12" borderId="5" xfId="0" applyNumberFormat="1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4" fontId="3" fillId="10" borderId="6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" fontId="3" fillId="2" borderId="3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0" xfId="0" applyFont="1" applyFill="1"/>
    <xf numFmtId="0" fontId="2" fillId="10" borderId="0" xfId="0" applyFont="1" applyFill="1"/>
    <xf numFmtId="0" fontId="0" fillId="10" borderId="7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A0A9-F965-4A2D-9557-79B005C21715}">
  <dimension ref="A1:M181"/>
  <sheetViews>
    <sheetView rightToLeft="1" workbookViewId="0">
      <pane ySplit="2" topLeftCell="A3" activePane="bottomLeft" state="frozen"/>
      <selection pane="bottomLeft" activeCell="M6" sqref="M6"/>
    </sheetView>
  </sheetViews>
  <sheetFormatPr defaultRowHeight="14.4" x14ac:dyDescent="0.3"/>
  <cols>
    <col min="1" max="1" width="12.33203125" customWidth="1"/>
    <col min="2" max="2" width="10.6640625" customWidth="1"/>
    <col min="3" max="3" width="7.44140625" customWidth="1"/>
    <col min="4" max="4" width="34.77734375" bestFit="1" customWidth="1"/>
    <col min="5" max="5" width="22.88671875" bestFit="1" customWidth="1"/>
    <col min="6" max="6" width="10.109375" bestFit="1" customWidth="1"/>
    <col min="8" max="8" width="15" bestFit="1" customWidth="1"/>
    <col min="9" max="9" width="12.77734375" bestFit="1" customWidth="1"/>
    <col min="10" max="10" width="11.6640625" bestFit="1" customWidth="1"/>
    <col min="11" max="11" width="12.6640625" bestFit="1" customWidth="1"/>
    <col min="12" max="12" width="19.109375" bestFit="1" customWidth="1"/>
    <col min="13" max="13" width="26.6640625" customWidth="1"/>
    <col min="17" max="19" width="8.88671875" customWidth="1"/>
  </cols>
  <sheetData>
    <row r="1" spans="1:13" ht="15.6" x14ac:dyDescent="0.3">
      <c r="H1" s="1" t="s">
        <v>210</v>
      </c>
      <c r="I1" s="2"/>
      <c r="J1" s="2"/>
      <c r="K1" s="2"/>
      <c r="L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</row>
    <row r="3" spans="1:13" x14ac:dyDescent="0.3">
      <c r="A3" s="5">
        <v>46174</v>
      </c>
      <c r="B3" s="6">
        <v>338</v>
      </c>
      <c r="C3" s="6" t="s">
        <v>13</v>
      </c>
      <c r="D3" s="6" t="s">
        <v>47</v>
      </c>
      <c r="E3" s="7" t="s">
        <v>132</v>
      </c>
      <c r="F3" s="8">
        <v>50</v>
      </c>
      <c r="G3" s="8">
        <v>395</v>
      </c>
      <c r="H3" s="8">
        <v>50</v>
      </c>
      <c r="I3" s="8">
        <f>H3*G3</f>
        <v>19750</v>
      </c>
      <c r="J3" s="7">
        <f t="shared" ref="J3:J180" si="0">I3*15%</f>
        <v>2962.5</v>
      </c>
      <c r="K3" s="103">
        <f t="shared" ref="K3:K180" si="1">I3+J3</f>
        <v>22712.5</v>
      </c>
      <c r="L3" s="97"/>
      <c r="M3" s="108"/>
    </row>
    <row r="4" spans="1:13" x14ac:dyDescent="0.3">
      <c r="A4" s="5">
        <v>46175</v>
      </c>
      <c r="B4" s="6">
        <v>339</v>
      </c>
      <c r="C4" s="6" t="s">
        <v>13</v>
      </c>
      <c r="D4" s="6" t="s">
        <v>167</v>
      </c>
      <c r="E4" s="6" t="s">
        <v>171</v>
      </c>
      <c r="F4" s="8">
        <v>15</v>
      </c>
      <c r="G4" s="8">
        <v>450</v>
      </c>
      <c r="H4" s="8">
        <v>15</v>
      </c>
      <c r="I4" s="8">
        <f>H4*G4</f>
        <v>6750</v>
      </c>
      <c r="J4" s="7">
        <f t="shared" si="0"/>
        <v>1012.5</v>
      </c>
      <c r="K4" s="103">
        <f t="shared" si="1"/>
        <v>7762.5</v>
      </c>
      <c r="L4" s="104"/>
      <c r="M4" s="108"/>
    </row>
    <row r="5" spans="1:13" x14ac:dyDescent="0.3">
      <c r="A5" s="5">
        <v>46175</v>
      </c>
      <c r="B5" s="6">
        <v>340</v>
      </c>
      <c r="C5" s="6" t="s">
        <v>13</v>
      </c>
      <c r="D5" s="6" t="s">
        <v>178</v>
      </c>
      <c r="E5" s="7" t="s">
        <v>188</v>
      </c>
      <c r="F5" s="8">
        <v>3</v>
      </c>
      <c r="G5" s="8">
        <v>430</v>
      </c>
      <c r="H5" s="8">
        <v>3</v>
      </c>
      <c r="I5" s="8">
        <f t="shared" ref="I5:I6" si="2">H5*G5</f>
        <v>1290</v>
      </c>
      <c r="J5" s="7">
        <f t="shared" si="0"/>
        <v>193.5</v>
      </c>
      <c r="K5" s="58">
        <f t="shared" si="1"/>
        <v>1483.5</v>
      </c>
      <c r="L5" s="59"/>
      <c r="M5" s="20"/>
    </row>
    <row r="6" spans="1:13" x14ac:dyDescent="0.3">
      <c r="A6" s="5">
        <v>46175</v>
      </c>
      <c r="B6" s="6">
        <v>341</v>
      </c>
      <c r="C6" s="6" t="s">
        <v>13</v>
      </c>
      <c r="D6" s="6" t="s">
        <v>134</v>
      </c>
      <c r="E6" s="6" t="s">
        <v>171</v>
      </c>
      <c r="F6" s="8">
        <v>50</v>
      </c>
      <c r="G6" s="8">
        <v>445</v>
      </c>
      <c r="H6" s="8">
        <v>50</v>
      </c>
      <c r="I6" s="8">
        <f t="shared" si="2"/>
        <v>22250</v>
      </c>
      <c r="J6" s="7">
        <f t="shared" si="0"/>
        <v>3337.5</v>
      </c>
      <c r="K6" s="103">
        <f t="shared" si="1"/>
        <v>25587.5</v>
      </c>
      <c r="L6" s="104"/>
      <c r="M6" s="108"/>
    </row>
    <row r="7" spans="1:13" x14ac:dyDescent="0.3">
      <c r="A7" s="5">
        <v>46175</v>
      </c>
      <c r="B7" s="6">
        <v>342</v>
      </c>
      <c r="C7" s="6" t="s">
        <v>13</v>
      </c>
      <c r="D7" s="6" t="s">
        <v>167</v>
      </c>
      <c r="E7" s="7" t="s">
        <v>171</v>
      </c>
      <c r="F7" s="8">
        <v>20</v>
      </c>
      <c r="G7" s="8">
        <v>450</v>
      </c>
      <c r="H7" s="8">
        <v>20</v>
      </c>
      <c r="I7" s="8">
        <f>H7*G7</f>
        <v>9000</v>
      </c>
      <c r="J7" s="7">
        <f t="shared" si="0"/>
        <v>1350</v>
      </c>
      <c r="K7" s="58">
        <f t="shared" si="1"/>
        <v>10350</v>
      </c>
      <c r="L7" s="59"/>
      <c r="M7" s="20"/>
    </row>
    <row r="8" spans="1:13" x14ac:dyDescent="0.3">
      <c r="A8" s="5">
        <v>46176</v>
      </c>
      <c r="B8" s="6">
        <v>343</v>
      </c>
      <c r="C8" s="6" t="s">
        <v>13</v>
      </c>
      <c r="D8" s="6" t="s">
        <v>164</v>
      </c>
      <c r="E8" s="7" t="s">
        <v>16</v>
      </c>
      <c r="F8" s="8">
        <v>500</v>
      </c>
      <c r="G8" s="8">
        <v>180</v>
      </c>
      <c r="H8" s="8">
        <v>500</v>
      </c>
      <c r="I8" s="8">
        <f>H8*G8</f>
        <v>90000</v>
      </c>
      <c r="J8" s="7">
        <f t="shared" si="0"/>
        <v>13500</v>
      </c>
      <c r="K8" s="58">
        <f t="shared" si="1"/>
        <v>103500</v>
      </c>
      <c r="L8" s="59"/>
      <c r="M8" s="20"/>
    </row>
    <row r="9" spans="1:13" x14ac:dyDescent="0.3">
      <c r="A9" s="5">
        <v>46176</v>
      </c>
      <c r="B9" s="6">
        <v>344</v>
      </c>
      <c r="C9" s="6" t="s">
        <v>13</v>
      </c>
      <c r="D9" s="6" t="s">
        <v>211</v>
      </c>
      <c r="E9" s="6" t="s">
        <v>171</v>
      </c>
      <c r="F9" s="8">
        <v>50</v>
      </c>
      <c r="G9" s="8">
        <v>450</v>
      </c>
      <c r="H9" s="8">
        <v>50</v>
      </c>
      <c r="I9" s="8">
        <f>H9*G9</f>
        <v>22500</v>
      </c>
      <c r="J9" s="7">
        <f t="shared" si="0"/>
        <v>3375</v>
      </c>
      <c r="K9" s="103">
        <f t="shared" si="1"/>
        <v>25875</v>
      </c>
      <c r="L9" s="104"/>
      <c r="M9" s="108"/>
    </row>
    <row r="10" spans="1:13" x14ac:dyDescent="0.3">
      <c r="A10" s="5">
        <v>46176</v>
      </c>
      <c r="B10" s="7">
        <v>345</v>
      </c>
      <c r="C10" s="6" t="s">
        <v>13</v>
      </c>
      <c r="D10" s="7" t="s">
        <v>202</v>
      </c>
      <c r="E10" s="6" t="s">
        <v>171</v>
      </c>
      <c r="F10" s="7">
        <v>2</v>
      </c>
      <c r="G10" s="7">
        <v>450</v>
      </c>
      <c r="H10" s="7">
        <v>2</v>
      </c>
      <c r="I10" s="7">
        <f t="shared" ref="I10:I180" si="3">H10*G10</f>
        <v>900</v>
      </c>
      <c r="J10" s="7">
        <f t="shared" si="0"/>
        <v>135</v>
      </c>
      <c r="K10" s="103">
        <f t="shared" si="1"/>
        <v>1035</v>
      </c>
      <c r="L10" s="104"/>
      <c r="M10" s="108"/>
    </row>
    <row r="11" spans="1:13" x14ac:dyDescent="0.3">
      <c r="A11" s="5">
        <v>46177</v>
      </c>
      <c r="B11" s="6">
        <v>346</v>
      </c>
      <c r="C11" s="6" t="s">
        <v>13</v>
      </c>
      <c r="D11" s="6" t="s">
        <v>178</v>
      </c>
      <c r="E11" s="6" t="s">
        <v>188</v>
      </c>
      <c r="F11" s="6">
        <v>56</v>
      </c>
      <c r="G11" s="6">
        <v>425</v>
      </c>
      <c r="H11" s="6">
        <v>56</v>
      </c>
      <c r="I11" s="6">
        <f t="shared" si="3"/>
        <v>23800</v>
      </c>
      <c r="J11" s="6">
        <f t="shared" si="0"/>
        <v>3570</v>
      </c>
      <c r="K11" s="74">
        <f t="shared" si="1"/>
        <v>27370</v>
      </c>
      <c r="L11" s="75"/>
      <c r="M11" s="94"/>
    </row>
    <row r="12" spans="1:13" x14ac:dyDescent="0.3">
      <c r="A12" s="5">
        <v>46177</v>
      </c>
      <c r="B12" s="6">
        <v>347</v>
      </c>
      <c r="C12" s="6" t="s">
        <v>158</v>
      </c>
      <c r="D12" s="6" t="s">
        <v>143</v>
      </c>
      <c r="E12" s="6" t="s">
        <v>212</v>
      </c>
      <c r="F12" s="6">
        <v>20</v>
      </c>
      <c r="G12" s="6">
        <v>450</v>
      </c>
      <c r="H12" s="6">
        <v>20</v>
      </c>
      <c r="I12" s="6">
        <f t="shared" si="3"/>
        <v>9000</v>
      </c>
      <c r="J12" s="6">
        <f t="shared" si="0"/>
        <v>1350</v>
      </c>
      <c r="K12" s="74">
        <f t="shared" si="1"/>
        <v>10350</v>
      </c>
      <c r="L12" s="109"/>
      <c r="M12" s="94"/>
    </row>
    <row r="13" spans="1:13" x14ac:dyDescent="0.3">
      <c r="A13" s="5">
        <v>46177</v>
      </c>
      <c r="B13" s="6">
        <v>348</v>
      </c>
      <c r="C13" s="6" t="s">
        <v>13</v>
      </c>
      <c r="D13" s="6" t="s">
        <v>167</v>
      </c>
      <c r="E13" s="6" t="s">
        <v>212</v>
      </c>
      <c r="F13" s="6">
        <v>5</v>
      </c>
      <c r="G13" s="6">
        <v>450</v>
      </c>
      <c r="H13" s="6">
        <v>5</v>
      </c>
      <c r="I13" s="6">
        <f t="shared" si="3"/>
        <v>2250</v>
      </c>
      <c r="J13" s="6">
        <f t="shared" si="0"/>
        <v>337.5</v>
      </c>
      <c r="K13" s="69">
        <f t="shared" si="1"/>
        <v>2587.5</v>
      </c>
      <c r="L13" s="70"/>
      <c r="M13" s="20"/>
    </row>
    <row r="14" spans="1:13" x14ac:dyDescent="0.3">
      <c r="A14" s="5">
        <v>46177</v>
      </c>
      <c r="B14" s="6">
        <v>349</v>
      </c>
      <c r="C14" s="6" t="s">
        <v>13</v>
      </c>
      <c r="D14" s="6" t="s">
        <v>211</v>
      </c>
      <c r="E14" s="7" t="s">
        <v>171</v>
      </c>
      <c r="F14" s="7">
        <v>20</v>
      </c>
      <c r="G14" s="7">
        <v>450</v>
      </c>
      <c r="H14" s="7">
        <v>20</v>
      </c>
      <c r="I14" s="7">
        <f t="shared" si="3"/>
        <v>9000</v>
      </c>
      <c r="J14" s="6">
        <f t="shared" si="0"/>
        <v>1350</v>
      </c>
      <c r="K14" s="74">
        <f t="shared" si="1"/>
        <v>10350</v>
      </c>
      <c r="L14" s="104"/>
      <c r="M14" s="108"/>
    </row>
    <row r="15" spans="1:13" x14ac:dyDescent="0.3">
      <c r="A15" s="5">
        <v>46180</v>
      </c>
      <c r="B15" s="6">
        <v>350</v>
      </c>
      <c r="C15" s="6" t="s">
        <v>13</v>
      </c>
      <c r="D15" s="6" t="s">
        <v>167</v>
      </c>
      <c r="E15" s="7" t="s">
        <v>171</v>
      </c>
      <c r="F15" s="7">
        <v>20</v>
      </c>
      <c r="G15" s="7">
        <v>450</v>
      </c>
      <c r="H15" s="7">
        <v>20</v>
      </c>
      <c r="I15" s="7">
        <f t="shared" si="3"/>
        <v>9000</v>
      </c>
      <c r="J15" s="6">
        <f t="shared" si="0"/>
        <v>1350</v>
      </c>
      <c r="K15" s="103">
        <f t="shared" si="1"/>
        <v>10350</v>
      </c>
      <c r="L15" s="104"/>
      <c r="M15" s="108"/>
    </row>
    <row r="16" spans="1:13" x14ac:dyDescent="0.3">
      <c r="A16" s="5">
        <v>46180</v>
      </c>
      <c r="B16" s="6">
        <v>351</v>
      </c>
      <c r="C16" s="6" t="s">
        <v>13</v>
      </c>
      <c r="D16" s="6" t="s">
        <v>167</v>
      </c>
      <c r="E16" s="6" t="s">
        <v>171</v>
      </c>
      <c r="F16" s="7">
        <v>15</v>
      </c>
      <c r="G16" s="7">
        <v>450</v>
      </c>
      <c r="H16" s="7">
        <v>15</v>
      </c>
      <c r="I16" s="7">
        <f t="shared" si="3"/>
        <v>6750</v>
      </c>
      <c r="J16" s="6">
        <f t="shared" si="0"/>
        <v>1012.5</v>
      </c>
      <c r="K16" s="58">
        <f t="shared" si="1"/>
        <v>7762.5</v>
      </c>
      <c r="L16" s="59"/>
      <c r="M16" s="20"/>
    </row>
    <row r="17" spans="1:13" x14ac:dyDescent="0.3">
      <c r="A17" s="5">
        <v>46180</v>
      </c>
      <c r="B17" s="6">
        <v>352</v>
      </c>
      <c r="C17" s="6" t="s">
        <v>13</v>
      </c>
      <c r="D17" s="6" t="s">
        <v>178</v>
      </c>
      <c r="E17" s="7" t="s">
        <v>171</v>
      </c>
      <c r="F17" s="7">
        <v>3</v>
      </c>
      <c r="G17" s="7">
        <v>450</v>
      </c>
      <c r="H17" s="7">
        <v>3</v>
      </c>
      <c r="I17" s="7">
        <f t="shared" si="3"/>
        <v>1350</v>
      </c>
      <c r="J17" s="6">
        <f t="shared" si="0"/>
        <v>202.5</v>
      </c>
      <c r="K17" s="58">
        <f t="shared" si="1"/>
        <v>1552.5</v>
      </c>
      <c r="L17" s="59"/>
      <c r="M17" s="20"/>
    </row>
    <row r="18" spans="1:13" x14ac:dyDescent="0.3">
      <c r="A18" s="5">
        <v>46181</v>
      </c>
      <c r="B18" s="7">
        <v>353</v>
      </c>
      <c r="C18" s="6" t="s">
        <v>158</v>
      </c>
      <c r="D18" s="6" t="s">
        <v>143</v>
      </c>
      <c r="E18" s="6" t="s">
        <v>171</v>
      </c>
      <c r="F18" s="7">
        <v>20</v>
      </c>
      <c r="G18" s="7">
        <v>450</v>
      </c>
      <c r="H18" s="7">
        <v>20</v>
      </c>
      <c r="I18" s="7">
        <f t="shared" si="3"/>
        <v>9000</v>
      </c>
      <c r="J18" s="6">
        <f t="shared" si="0"/>
        <v>1350</v>
      </c>
      <c r="K18" s="18">
        <f t="shared" si="1"/>
        <v>10350</v>
      </c>
      <c r="L18" s="21"/>
      <c r="M18" s="20"/>
    </row>
    <row r="19" spans="1:13" x14ac:dyDescent="0.3">
      <c r="A19" s="5">
        <v>46181</v>
      </c>
      <c r="B19" s="7">
        <v>354</v>
      </c>
      <c r="C19" s="6" t="s">
        <v>13</v>
      </c>
      <c r="D19" s="6" t="s">
        <v>134</v>
      </c>
      <c r="E19" s="7" t="s">
        <v>171</v>
      </c>
      <c r="F19" s="7">
        <v>200</v>
      </c>
      <c r="G19" s="7">
        <v>450</v>
      </c>
      <c r="H19" s="7">
        <v>200</v>
      </c>
      <c r="I19" s="7">
        <f t="shared" si="3"/>
        <v>90000</v>
      </c>
      <c r="J19" s="6">
        <f t="shared" si="0"/>
        <v>13500</v>
      </c>
      <c r="K19" s="18">
        <f t="shared" si="1"/>
        <v>103500</v>
      </c>
      <c r="L19" s="106"/>
      <c r="M19" s="107"/>
    </row>
    <row r="20" spans="1:13" x14ac:dyDescent="0.3">
      <c r="A20" s="5">
        <v>46181</v>
      </c>
      <c r="B20" s="7">
        <v>355</v>
      </c>
      <c r="C20" s="6" t="s">
        <v>13</v>
      </c>
      <c r="D20" s="6" t="s">
        <v>47</v>
      </c>
      <c r="E20" s="7" t="s">
        <v>132</v>
      </c>
      <c r="F20" s="7">
        <v>65</v>
      </c>
      <c r="G20" s="7">
        <v>395</v>
      </c>
      <c r="H20" s="7">
        <v>65</v>
      </c>
      <c r="I20" s="7">
        <f t="shared" si="3"/>
        <v>25675</v>
      </c>
      <c r="J20" s="6">
        <f t="shared" si="0"/>
        <v>3851.25</v>
      </c>
      <c r="K20" s="18">
        <f t="shared" si="1"/>
        <v>29526.25</v>
      </c>
      <c r="L20" s="21"/>
      <c r="M20" s="20"/>
    </row>
    <row r="21" spans="1:13" x14ac:dyDescent="0.3">
      <c r="A21" s="5">
        <v>46182</v>
      </c>
      <c r="B21" s="7">
        <v>356</v>
      </c>
      <c r="C21" s="6" t="s">
        <v>13</v>
      </c>
      <c r="D21" s="6" t="s">
        <v>167</v>
      </c>
      <c r="E21" s="6" t="s">
        <v>171</v>
      </c>
      <c r="F21" s="7">
        <v>22</v>
      </c>
      <c r="G21" s="7">
        <v>450</v>
      </c>
      <c r="H21" s="7">
        <v>22</v>
      </c>
      <c r="I21" s="7">
        <f t="shared" si="3"/>
        <v>9900</v>
      </c>
      <c r="J21" s="6">
        <f t="shared" si="0"/>
        <v>1485</v>
      </c>
      <c r="K21" s="58">
        <f t="shared" si="1"/>
        <v>11385</v>
      </c>
      <c r="L21" s="59"/>
      <c r="M21" s="20"/>
    </row>
    <row r="22" spans="1:13" x14ac:dyDescent="0.3">
      <c r="A22" s="5">
        <v>46183</v>
      </c>
      <c r="B22" s="7">
        <v>357</v>
      </c>
      <c r="C22" s="6" t="s">
        <v>158</v>
      </c>
      <c r="D22" s="6" t="s">
        <v>143</v>
      </c>
      <c r="E22" s="7" t="s">
        <v>171</v>
      </c>
      <c r="F22" s="7">
        <v>30</v>
      </c>
      <c r="G22" s="7">
        <v>450</v>
      </c>
      <c r="H22" s="7">
        <v>30</v>
      </c>
      <c r="I22" s="7">
        <f t="shared" si="3"/>
        <v>13500</v>
      </c>
      <c r="J22" s="6">
        <f t="shared" si="0"/>
        <v>2025</v>
      </c>
      <c r="K22" s="58">
        <f t="shared" si="1"/>
        <v>15525</v>
      </c>
      <c r="L22" s="59"/>
      <c r="M22" s="20"/>
    </row>
    <row r="23" spans="1:13" x14ac:dyDescent="0.3">
      <c r="A23" s="5">
        <v>46183</v>
      </c>
      <c r="B23" s="7">
        <v>357</v>
      </c>
      <c r="C23" s="6" t="s">
        <v>158</v>
      </c>
      <c r="D23" s="6" t="s">
        <v>143</v>
      </c>
      <c r="E23" s="7" t="s">
        <v>132</v>
      </c>
      <c r="F23" s="17">
        <v>3</v>
      </c>
      <c r="G23" s="7">
        <v>375</v>
      </c>
      <c r="H23" s="7">
        <v>3</v>
      </c>
      <c r="I23" s="7">
        <f t="shared" si="3"/>
        <v>1125</v>
      </c>
      <c r="J23" s="8">
        <f t="shared" si="0"/>
        <v>168.75</v>
      </c>
      <c r="K23" s="69">
        <f t="shared" si="1"/>
        <v>1293.75</v>
      </c>
      <c r="L23" s="70"/>
      <c r="M23" s="20"/>
    </row>
    <row r="24" spans="1:13" x14ac:dyDescent="0.3">
      <c r="A24" s="5">
        <v>46183</v>
      </c>
      <c r="B24" s="7">
        <v>358</v>
      </c>
      <c r="C24" s="6" t="s">
        <v>13</v>
      </c>
      <c r="D24" s="7" t="s">
        <v>202</v>
      </c>
      <c r="E24" s="6" t="s">
        <v>188</v>
      </c>
      <c r="F24" s="8">
        <v>1</v>
      </c>
      <c r="G24" s="8">
        <v>430</v>
      </c>
      <c r="H24" s="8">
        <v>1</v>
      </c>
      <c r="I24" s="7">
        <f>H24*G24</f>
        <v>430</v>
      </c>
      <c r="J24" s="8">
        <f t="shared" si="0"/>
        <v>64.5</v>
      </c>
      <c r="K24" s="11">
        <f t="shared" si="1"/>
        <v>494.5</v>
      </c>
      <c r="L24" s="12"/>
      <c r="M24" s="20"/>
    </row>
    <row r="25" spans="1:13" x14ac:dyDescent="0.3">
      <c r="A25" s="5">
        <v>46183</v>
      </c>
      <c r="B25" s="7">
        <v>358</v>
      </c>
      <c r="C25" s="6" t="s">
        <v>13</v>
      </c>
      <c r="D25" s="7" t="s">
        <v>202</v>
      </c>
      <c r="E25" s="6" t="s">
        <v>171</v>
      </c>
      <c r="F25" s="8">
        <v>2</v>
      </c>
      <c r="G25" s="8">
        <v>450</v>
      </c>
      <c r="H25" s="8">
        <v>2</v>
      </c>
      <c r="I25" s="7">
        <f>H25*G25</f>
        <v>900</v>
      </c>
      <c r="J25" s="8">
        <f t="shared" si="0"/>
        <v>135</v>
      </c>
      <c r="K25" s="11">
        <f t="shared" si="1"/>
        <v>1035</v>
      </c>
      <c r="L25" s="12"/>
      <c r="M25" s="20"/>
    </row>
    <row r="26" spans="1:13" x14ac:dyDescent="0.3">
      <c r="A26" s="5">
        <v>46183</v>
      </c>
      <c r="B26" s="7">
        <v>358</v>
      </c>
      <c r="C26" s="6" t="s">
        <v>13</v>
      </c>
      <c r="D26" s="7" t="s">
        <v>202</v>
      </c>
      <c r="E26" s="7" t="s">
        <v>132</v>
      </c>
      <c r="F26" s="8">
        <v>3</v>
      </c>
      <c r="G26" s="8">
        <v>385</v>
      </c>
      <c r="H26" s="17">
        <v>3</v>
      </c>
      <c r="I26" s="7">
        <f t="shared" si="3"/>
        <v>1155</v>
      </c>
      <c r="J26" s="8">
        <f t="shared" si="0"/>
        <v>173.25</v>
      </c>
      <c r="K26" s="11">
        <f t="shared" si="1"/>
        <v>1328.25</v>
      </c>
      <c r="L26" s="12"/>
    </row>
    <row r="27" spans="1:13" x14ac:dyDescent="0.3">
      <c r="A27" s="5">
        <v>46183</v>
      </c>
      <c r="B27" s="7">
        <v>359</v>
      </c>
      <c r="C27" s="6" t="s">
        <v>13</v>
      </c>
      <c r="D27" s="7" t="s">
        <v>47</v>
      </c>
      <c r="E27" s="7" t="s">
        <v>132</v>
      </c>
      <c r="F27" s="8">
        <v>200</v>
      </c>
      <c r="G27" s="8">
        <v>375</v>
      </c>
      <c r="H27" s="17">
        <v>200</v>
      </c>
      <c r="I27" s="7">
        <f t="shared" si="3"/>
        <v>75000</v>
      </c>
      <c r="J27" s="8">
        <f t="shared" si="0"/>
        <v>11250</v>
      </c>
      <c r="K27" s="69">
        <f t="shared" si="1"/>
        <v>86250</v>
      </c>
      <c r="L27" s="70"/>
      <c r="M27" s="20"/>
    </row>
    <row r="28" spans="1:13" x14ac:dyDescent="0.3">
      <c r="A28" s="5">
        <v>46183</v>
      </c>
      <c r="B28" s="6">
        <v>359</v>
      </c>
      <c r="C28" s="6" t="s">
        <v>13</v>
      </c>
      <c r="D28" s="7" t="s">
        <v>47</v>
      </c>
      <c r="E28" s="7" t="s">
        <v>150</v>
      </c>
      <c r="F28" s="8">
        <v>10</v>
      </c>
      <c r="G28" s="8">
        <v>370</v>
      </c>
      <c r="H28" s="8">
        <v>10</v>
      </c>
      <c r="I28" s="7">
        <f t="shared" si="3"/>
        <v>3700</v>
      </c>
      <c r="J28" s="8">
        <f t="shared" si="0"/>
        <v>555</v>
      </c>
      <c r="K28" s="69">
        <f t="shared" si="1"/>
        <v>4255</v>
      </c>
      <c r="L28" s="70"/>
      <c r="M28" s="20"/>
    </row>
    <row r="29" spans="1:13" x14ac:dyDescent="0.3">
      <c r="A29" s="5">
        <v>46184</v>
      </c>
      <c r="B29" s="6">
        <v>360</v>
      </c>
      <c r="C29" s="6" t="s">
        <v>13</v>
      </c>
      <c r="D29" s="6" t="s">
        <v>29</v>
      </c>
      <c r="E29" s="6" t="s">
        <v>171</v>
      </c>
      <c r="F29" s="8">
        <v>10</v>
      </c>
      <c r="G29" s="8">
        <v>450</v>
      </c>
      <c r="H29" s="13">
        <v>10</v>
      </c>
      <c r="I29" s="8">
        <f t="shared" si="3"/>
        <v>4500</v>
      </c>
      <c r="J29" s="8">
        <f t="shared" si="0"/>
        <v>675</v>
      </c>
      <c r="K29" s="11">
        <f t="shared" si="1"/>
        <v>5175</v>
      </c>
      <c r="L29" s="12"/>
      <c r="M29" s="20"/>
    </row>
    <row r="30" spans="1:13" x14ac:dyDescent="0.3">
      <c r="A30" s="5">
        <v>46184</v>
      </c>
      <c r="B30" s="6">
        <v>361</v>
      </c>
      <c r="C30" s="6" t="s">
        <v>158</v>
      </c>
      <c r="D30" s="6" t="s">
        <v>174</v>
      </c>
      <c r="E30" s="6" t="s">
        <v>189</v>
      </c>
      <c r="F30" s="8">
        <v>25</v>
      </c>
      <c r="G30" s="8">
        <v>365</v>
      </c>
      <c r="H30" s="8">
        <v>25</v>
      </c>
      <c r="I30" s="8">
        <f t="shared" si="3"/>
        <v>9125</v>
      </c>
      <c r="J30" s="8">
        <f t="shared" si="0"/>
        <v>1368.75</v>
      </c>
      <c r="K30" s="69">
        <f t="shared" si="1"/>
        <v>10493.75</v>
      </c>
      <c r="L30" s="70"/>
      <c r="M30" s="20"/>
    </row>
    <row r="31" spans="1:13" x14ac:dyDescent="0.3">
      <c r="A31" s="5">
        <v>46184</v>
      </c>
      <c r="B31" s="6">
        <v>361</v>
      </c>
      <c r="C31" s="6" t="s">
        <v>158</v>
      </c>
      <c r="D31" s="6" t="s">
        <v>174</v>
      </c>
      <c r="E31" s="6" t="s">
        <v>132</v>
      </c>
      <c r="F31" s="8">
        <v>15</v>
      </c>
      <c r="G31" s="8">
        <v>375</v>
      </c>
      <c r="H31" s="8">
        <v>15</v>
      </c>
      <c r="I31" s="8">
        <f t="shared" si="3"/>
        <v>5625</v>
      </c>
      <c r="J31" s="8">
        <f t="shared" si="0"/>
        <v>843.75</v>
      </c>
      <c r="K31" s="69">
        <f t="shared" si="1"/>
        <v>6468.75</v>
      </c>
      <c r="L31" s="70"/>
      <c r="M31" s="20"/>
    </row>
    <row r="32" spans="1:13" x14ac:dyDescent="0.3">
      <c r="A32" s="5">
        <v>46184</v>
      </c>
      <c r="B32" s="6">
        <v>361</v>
      </c>
      <c r="C32" s="6" t="s">
        <v>158</v>
      </c>
      <c r="D32" s="6" t="s">
        <v>174</v>
      </c>
      <c r="E32" s="7" t="s">
        <v>150</v>
      </c>
      <c r="F32" s="8">
        <v>5</v>
      </c>
      <c r="G32" s="8">
        <v>370</v>
      </c>
      <c r="H32" s="17">
        <v>5</v>
      </c>
      <c r="I32" s="8">
        <f t="shared" si="3"/>
        <v>1850</v>
      </c>
      <c r="J32" s="8">
        <f t="shared" si="0"/>
        <v>277.5</v>
      </c>
      <c r="K32" s="69">
        <f t="shared" si="1"/>
        <v>2127.5</v>
      </c>
      <c r="L32" s="70"/>
    </row>
    <row r="33" spans="1:13" x14ac:dyDescent="0.3">
      <c r="A33" s="5">
        <v>46184</v>
      </c>
      <c r="B33" s="6">
        <v>362</v>
      </c>
      <c r="C33" s="6" t="s">
        <v>13</v>
      </c>
      <c r="D33" s="6" t="s">
        <v>167</v>
      </c>
      <c r="E33" s="6" t="s">
        <v>171</v>
      </c>
      <c r="F33" s="8">
        <v>25</v>
      </c>
      <c r="G33" s="8">
        <v>450</v>
      </c>
      <c r="H33" s="17">
        <v>25</v>
      </c>
      <c r="I33" s="8">
        <f t="shared" si="3"/>
        <v>11250</v>
      </c>
      <c r="J33" s="8">
        <f t="shared" si="0"/>
        <v>1687.5</v>
      </c>
      <c r="K33" s="11">
        <f t="shared" si="1"/>
        <v>12937.5</v>
      </c>
      <c r="L33" s="12"/>
    </row>
    <row r="34" spans="1:13" x14ac:dyDescent="0.3">
      <c r="A34" s="5">
        <v>46184</v>
      </c>
      <c r="B34" s="6">
        <v>363</v>
      </c>
      <c r="C34" s="6" t="s">
        <v>186</v>
      </c>
      <c r="D34" s="6" t="s">
        <v>214</v>
      </c>
      <c r="E34" s="6" t="s">
        <v>215</v>
      </c>
      <c r="F34" s="8"/>
      <c r="G34" s="8"/>
      <c r="H34" s="17"/>
      <c r="I34" s="8">
        <v>9920</v>
      </c>
      <c r="J34" s="8">
        <f t="shared" si="0"/>
        <v>1488</v>
      </c>
      <c r="K34" s="11">
        <f t="shared" si="1"/>
        <v>11408</v>
      </c>
      <c r="L34" s="12"/>
    </row>
    <row r="35" spans="1:13" x14ac:dyDescent="0.3">
      <c r="A35" s="5">
        <v>46184</v>
      </c>
      <c r="B35" s="6">
        <v>364</v>
      </c>
      <c r="C35" s="6" t="s">
        <v>186</v>
      </c>
      <c r="D35" s="6" t="s">
        <v>214</v>
      </c>
      <c r="E35" s="6" t="s">
        <v>215</v>
      </c>
      <c r="F35" s="8"/>
      <c r="G35" s="8"/>
      <c r="H35" s="8"/>
      <c r="I35" s="8">
        <v>4600</v>
      </c>
      <c r="J35" s="8">
        <f t="shared" si="0"/>
        <v>690</v>
      </c>
      <c r="K35" s="11">
        <f>I35+J35</f>
        <v>5290</v>
      </c>
      <c r="L35" s="12"/>
    </row>
    <row r="36" spans="1:13" x14ac:dyDescent="0.3">
      <c r="A36" s="5">
        <v>46187</v>
      </c>
      <c r="B36" s="6">
        <v>365</v>
      </c>
      <c r="C36" s="6" t="s">
        <v>13</v>
      </c>
      <c r="D36" s="6" t="s">
        <v>164</v>
      </c>
      <c r="E36" s="6" t="s">
        <v>65</v>
      </c>
      <c r="F36" s="8">
        <v>50</v>
      </c>
      <c r="G36" s="8">
        <v>180</v>
      </c>
      <c r="H36" s="8">
        <v>50</v>
      </c>
      <c r="I36" s="8">
        <f t="shared" si="3"/>
        <v>9000</v>
      </c>
      <c r="J36" s="8">
        <f t="shared" si="0"/>
        <v>1350</v>
      </c>
      <c r="K36" s="11">
        <f t="shared" si="1"/>
        <v>10350</v>
      </c>
      <c r="L36" s="12"/>
    </row>
    <row r="37" spans="1:13" x14ac:dyDescent="0.3">
      <c r="A37" s="5">
        <v>46187</v>
      </c>
      <c r="B37" s="6">
        <v>366</v>
      </c>
      <c r="C37" s="6" t="s">
        <v>13</v>
      </c>
      <c r="D37" s="6" t="s">
        <v>178</v>
      </c>
      <c r="E37" s="6" t="s">
        <v>171</v>
      </c>
      <c r="F37" s="8">
        <v>1</v>
      </c>
      <c r="G37" s="8">
        <v>450</v>
      </c>
      <c r="H37" s="8">
        <v>1</v>
      </c>
      <c r="I37" s="8">
        <f t="shared" si="3"/>
        <v>450</v>
      </c>
      <c r="J37" s="8">
        <f t="shared" si="0"/>
        <v>67.5</v>
      </c>
      <c r="K37" s="11">
        <f t="shared" si="1"/>
        <v>517.5</v>
      </c>
      <c r="L37" s="12"/>
    </row>
    <row r="38" spans="1:13" x14ac:dyDescent="0.3">
      <c r="A38" s="5">
        <v>46187</v>
      </c>
      <c r="B38" s="6">
        <v>367</v>
      </c>
      <c r="C38" s="71" t="s">
        <v>13</v>
      </c>
      <c r="D38" s="6" t="s">
        <v>216</v>
      </c>
      <c r="E38" s="6" t="s">
        <v>189</v>
      </c>
      <c r="F38" s="8">
        <v>50</v>
      </c>
      <c r="G38" s="8">
        <v>360</v>
      </c>
      <c r="H38" s="17">
        <v>50</v>
      </c>
      <c r="I38" s="8">
        <f t="shared" si="3"/>
        <v>18000</v>
      </c>
      <c r="J38" s="8">
        <f t="shared" si="0"/>
        <v>2700</v>
      </c>
      <c r="K38" s="11">
        <f t="shared" si="1"/>
        <v>20700</v>
      </c>
      <c r="L38" s="92"/>
      <c r="M38" s="20"/>
    </row>
    <row r="39" spans="1:13" x14ac:dyDescent="0.3">
      <c r="A39" s="5">
        <v>46187</v>
      </c>
      <c r="B39" s="6">
        <v>368</v>
      </c>
      <c r="C39" s="6" t="s">
        <v>13</v>
      </c>
      <c r="D39" s="6" t="s">
        <v>129</v>
      </c>
      <c r="E39" s="7" t="s">
        <v>22</v>
      </c>
      <c r="F39" s="8">
        <v>50</v>
      </c>
      <c r="G39" s="8">
        <v>180</v>
      </c>
      <c r="H39" s="8">
        <v>50</v>
      </c>
      <c r="I39" s="8">
        <f t="shared" si="3"/>
        <v>9000</v>
      </c>
      <c r="J39" s="8">
        <f t="shared" si="0"/>
        <v>1350</v>
      </c>
      <c r="K39" s="11">
        <f t="shared" si="1"/>
        <v>10350</v>
      </c>
      <c r="L39" s="92"/>
      <c r="M39" s="20"/>
    </row>
    <row r="40" spans="1:13" x14ac:dyDescent="0.3">
      <c r="A40" s="5">
        <v>46187</v>
      </c>
      <c r="B40" s="6">
        <v>368</v>
      </c>
      <c r="C40" s="6" t="s">
        <v>13</v>
      </c>
      <c r="D40" s="6" t="s">
        <v>129</v>
      </c>
      <c r="E40" s="6" t="s">
        <v>188</v>
      </c>
      <c r="F40" s="8">
        <v>50</v>
      </c>
      <c r="G40" s="8">
        <v>430</v>
      </c>
      <c r="H40" s="8">
        <v>50</v>
      </c>
      <c r="I40" s="8">
        <f t="shared" si="3"/>
        <v>21500</v>
      </c>
      <c r="J40" s="8">
        <f t="shared" si="0"/>
        <v>3225</v>
      </c>
      <c r="K40" s="11">
        <f t="shared" si="1"/>
        <v>24725</v>
      </c>
      <c r="L40" s="12"/>
    </row>
    <row r="41" spans="1:13" x14ac:dyDescent="0.3">
      <c r="A41" s="5">
        <v>46188</v>
      </c>
      <c r="B41" s="6">
        <v>369</v>
      </c>
      <c r="C41" s="6" t="s">
        <v>158</v>
      </c>
      <c r="D41" s="6" t="s">
        <v>175</v>
      </c>
      <c r="E41" s="6" t="s">
        <v>188</v>
      </c>
      <c r="F41" s="8">
        <v>15</v>
      </c>
      <c r="G41" s="8">
        <v>425</v>
      </c>
      <c r="H41" s="8">
        <v>15</v>
      </c>
      <c r="I41" s="8">
        <f t="shared" si="3"/>
        <v>6375</v>
      </c>
      <c r="J41" s="8">
        <f t="shared" si="0"/>
        <v>956.25</v>
      </c>
      <c r="K41" s="11">
        <f t="shared" si="1"/>
        <v>7331.25</v>
      </c>
      <c r="L41" s="12"/>
    </row>
    <row r="42" spans="1:13" x14ac:dyDescent="0.3">
      <c r="A42" s="5">
        <v>46189</v>
      </c>
      <c r="B42" s="6">
        <v>370</v>
      </c>
      <c r="C42" s="6" t="s">
        <v>13</v>
      </c>
      <c r="D42" s="6" t="s">
        <v>167</v>
      </c>
      <c r="E42" s="6" t="s">
        <v>171</v>
      </c>
      <c r="F42" s="8">
        <v>10</v>
      </c>
      <c r="G42" s="8">
        <v>450</v>
      </c>
      <c r="H42" s="8">
        <v>10</v>
      </c>
      <c r="I42" s="8">
        <f t="shared" si="3"/>
        <v>4500</v>
      </c>
      <c r="J42" s="8">
        <f t="shared" si="0"/>
        <v>675</v>
      </c>
      <c r="K42" s="11">
        <f t="shared" si="1"/>
        <v>5175</v>
      </c>
      <c r="L42" s="12"/>
    </row>
    <row r="43" spans="1:13" x14ac:dyDescent="0.3">
      <c r="A43" s="5">
        <v>46189</v>
      </c>
      <c r="B43" s="6">
        <v>371</v>
      </c>
      <c r="C43" s="6" t="s">
        <v>158</v>
      </c>
      <c r="D43" s="6" t="s">
        <v>143</v>
      </c>
      <c r="E43" s="6" t="s">
        <v>171</v>
      </c>
      <c r="F43" s="8">
        <v>20</v>
      </c>
      <c r="G43" s="8">
        <v>450</v>
      </c>
      <c r="H43" s="8">
        <v>20</v>
      </c>
      <c r="I43" s="8">
        <f t="shared" si="3"/>
        <v>9000</v>
      </c>
      <c r="J43" s="8">
        <f t="shared" si="0"/>
        <v>1350</v>
      </c>
      <c r="K43" s="11">
        <f t="shared" si="1"/>
        <v>10350</v>
      </c>
      <c r="L43" s="12"/>
      <c r="M43" s="20"/>
    </row>
    <row r="44" spans="1:13" x14ac:dyDescent="0.3">
      <c r="A44" s="5">
        <v>46189</v>
      </c>
      <c r="B44" s="6">
        <v>371</v>
      </c>
      <c r="C44" s="6" t="s">
        <v>158</v>
      </c>
      <c r="D44" s="6" t="s">
        <v>143</v>
      </c>
      <c r="E44" s="6" t="s">
        <v>188</v>
      </c>
      <c r="F44" s="8">
        <v>2</v>
      </c>
      <c r="G44" s="8">
        <v>425</v>
      </c>
      <c r="H44" s="8">
        <v>2</v>
      </c>
      <c r="I44" s="8">
        <f t="shared" si="3"/>
        <v>850</v>
      </c>
      <c r="J44" s="8">
        <f t="shared" si="0"/>
        <v>127.5</v>
      </c>
      <c r="K44" s="11">
        <f t="shared" si="1"/>
        <v>977.5</v>
      </c>
      <c r="L44" s="12"/>
      <c r="M44" s="20"/>
    </row>
    <row r="45" spans="1:13" x14ac:dyDescent="0.3">
      <c r="A45" s="5">
        <v>46190</v>
      </c>
      <c r="B45" s="6">
        <v>372</v>
      </c>
      <c r="C45" s="6" t="s">
        <v>13</v>
      </c>
      <c r="D45" s="6" t="s">
        <v>167</v>
      </c>
      <c r="E45" s="6" t="s">
        <v>171</v>
      </c>
      <c r="F45" s="8">
        <v>18</v>
      </c>
      <c r="G45" s="8">
        <v>450</v>
      </c>
      <c r="H45" s="8">
        <v>18</v>
      </c>
      <c r="I45" s="8">
        <f t="shared" si="3"/>
        <v>8100</v>
      </c>
      <c r="J45" s="8">
        <f t="shared" si="0"/>
        <v>1215</v>
      </c>
      <c r="K45" s="11">
        <f t="shared" si="1"/>
        <v>9315</v>
      </c>
      <c r="L45" s="12"/>
      <c r="M45" s="20"/>
    </row>
    <row r="46" spans="1:13" x14ac:dyDescent="0.3">
      <c r="A46" s="5">
        <v>46190</v>
      </c>
      <c r="B46" s="6">
        <v>373</v>
      </c>
      <c r="C46" s="6" t="s">
        <v>13</v>
      </c>
      <c r="D46" s="6" t="s">
        <v>134</v>
      </c>
      <c r="E46" s="6" t="s">
        <v>171</v>
      </c>
      <c r="F46" s="8">
        <v>100</v>
      </c>
      <c r="G46" s="8">
        <v>450</v>
      </c>
      <c r="H46" s="8">
        <v>100</v>
      </c>
      <c r="I46" s="8">
        <f t="shared" si="3"/>
        <v>45000</v>
      </c>
      <c r="J46" s="8">
        <f t="shared" si="0"/>
        <v>6750</v>
      </c>
      <c r="K46" s="11">
        <f t="shared" si="1"/>
        <v>51750</v>
      </c>
      <c r="L46" s="12"/>
      <c r="M46" s="20"/>
    </row>
    <row r="47" spans="1:13" x14ac:dyDescent="0.3">
      <c r="A47" s="5">
        <v>46190</v>
      </c>
      <c r="B47" s="6">
        <v>374</v>
      </c>
      <c r="C47" s="6" t="s">
        <v>13</v>
      </c>
      <c r="D47" s="7" t="s">
        <v>202</v>
      </c>
      <c r="E47" s="6" t="s">
        <v>220</v>
      </c>
      <c r="F47" s="8"/>
      <c r="G47" s="8">
        <v>67</v>
      </c>
      <c r="H47" s="8">
        <v>39.53</v>
      </c>
      <c r="I47" s="8">
        <f t="shared" si="3"/>
        <v>2648.51</v>
      </c>
      <c r="J47" s="8">
        <f t="shared" si="0"/>
        <v>397.2765</v>
      </c>
      <c r="K47" s="11">
        <f t="shared" si="1"/>
        <v>3045.7865000000002</v>
      </c>
      <c r="L47" s="12"/>
      <c r="M47" s="20"/>
    </row>
    <row r="48" spans="1:13" x14ac:dyDescent="0.3">
      <c r="A48" s="5">
        <v>46190</v>
      </c>
      <c r="B48" s="6">
        <v>374</v>
      </c>
      <c r="C48" s="6" t="s">
        <v>13</v>
      </c>
      <c r="D48" s="7" t="s">
        <v>202</v>
      </c>
      <c r="E48" s="6" t="s">
        <v>221</v>
      </c>
      <c r="F48" s="8">
        <v>1</v>
      </c>
      <c r="G48" s="8">
        <v>350</v>
      </c>
      <c r="H48" s="8">
        <v>1</v>
      </c>
      <c r="I48" s="8">
        <f t="shared" si="3"/>
        <v>350</v>
      </c>
      <c r="J48" s="8">
        <f t="shared" si="0"/>
        <v>52.5</v>
      </c>
      <c r="K48" s="11">
        <f t="shared" si="1"/>
        <v>402.5</v>
      </c>
      <c r="L48" s="12"/>
      <c r="M48" s="20"/>
    </row>
    <row r="49" spans="1:13" x14ac:dyDescent="0.3">
      <c r="A49" s="5">
        <v>46190</v>
      </c>
      <c r="B49" s="6">
        <v>375</v>
      </c>
      <c r="C49" s="6" t="s">
        <v>13</v>
      </c>
      <c r="D49" s="6" t="s">
        <v>164</v>
      </c>
      <c r="E49" s="6" t="s">
        <v>22</v>
      </c>
      <c r="F49" s="8">
        <v>100</v>
      </c>
      <c r="G49" s="8">
        <v>180</v>
      </c>
      <c r="H49" s="8">
        <v>100</v>
      </c>
      <c r="I49" s="8">
        <f t="shared" si="3"/>
        <v>18000</v>
      </c>
      <c r="J49" s="8">
        <f t="shared" si="0"/>
        <v>2700</v>
      </c>
      <c r="K49" s="11">
        <f t="shared" si="1"/>
        <v>20700</v>
      </c>
      <c r="L49" s="12"/>
      <c r="M49" s="20"/>
    </row>
    <row r="50" spans="1:13" x14ac:dyDescent="0.3">
      <c r="A50" s="5">
        <v>46191</v>
      </c>
      <c r="B50" s="6">
        <v>376</v>
      </c>
      <c r="C50" s="6" t="s">
        <v>158</v>
      </c>
      <c r="D50" s="6" t="s">
        <v>174</v>
      </c>
      <c r="E50" s="6" t="s">
        <v>132</v>
      </c>
      <c r="F50" s="8">
        <v>20</v>
      </c>
      <c r="G50" s="8">
        <v>375</v>
      </c>
      <c r="H50" s="8">
        <v>20</v>
      </c>
      <c r="I50" s="8">
        <f t="shared" si="3"/>
        <v>7500</v>
      </c>
      <c r="J50" s="8">
        <f t="shared" si="0"/>
        <v>1125</v>
      </c>
      <c r="K50" s="11">
        <f t="shared" si="1"/>
        <v>8625</v>
      </c>
      <c r="L50" s="12"/>
      <c r="M50" s="20"/>
    </row>
    <row r="51" spans="1:13" x14ac:dyDescent="0.3">
      <c r="A51" s="5">
        <v>46191</v>
      </c>
      <c r="B51" s="6">
        <v>376</v>
      </c>
      <c r="C51" s="6" t="s">
        <v>158</v>
      </c>
      <c r="D51" s="6" t="s">
        <v>174</v>
      </c>
      <c r="E51" s="6" t="s">
        <v>150</v>
      </c>
      <c r="F51" s="8">
        <v>2</v>
      </c>
      <c r="G51" s="8">
        <v>370</v>
      </c>
      <c r="H51" s="8">
        <v>2</v>
      </c>
      <c r="I51" s="8">
        <f t="shared" si="3"/>
        <v>740</v>
      </c>
      <c r="J51" s="8">
        <f t="shared" si="0"/>
        <v>111</v>
      </c>
      <c r="K51" s="11">
        <f t="shared" si="1"/>
        <v>851</v>
      </c>
      <c r="L51" s="12"/>
    </row>
    <row r="52" spans="1:13" x14ac:dyDescent="0.3">
      <c r="A52" s="5">
        <v>46191</v>
      </c>
      <c r="B52" s="6">
        <v>377</v>
      </c>
      <c r="C52" s="6" t="s">
        <v>158</v>
      </c>
      <c r="D52" s="6" t="s">
        <v>174</v>
      </c>
      <c r="E52" s="6" t="s">
        <v>188</v>
      </c>
      <c r="F52" s="8">
        <v>10</v>
      </c>
      <c r="G52" s="8">
        <v>425</v>
      </c>
      <c r="H52" s="8">
        <v>10</v>
      </c>
      <c r="I52" s="8">
        <f t="shared" si="3"/>
        <v>4250</v>
      </c>
      <c r="J52" s="8">
        <f t="shared" si="0"/>
        <v>637.5</v>
      </c>
      <c r="K52" s="11">
        <f t="shared" si="1"/>
        <v>4887.5</v>
      </c>
      <c r="L52" s="12"/>
      <c r="M52" s="20"/>
    </row>
    <row r="53" spans="1:13" x14ac:dyDescent="0.3">
      <c r="A53" s="5">
        <v>46191</v>
      </c>
      <c r="B53" s="6">
        <v>377</v>
      </c>
      <c r="C53" s="6" t="s">
        <v>158</v>
      </c>
      <c r="D53" s="6" t="s">
        <v>174</v>
      </c>
      <c r="E53" s="6" t="s">
        <v>22</v>
      </c>
      <c r="F53" s="8">
        <v>100</v>
      </c>
      <c r="G53" s="8">
        <v>178</v>
      </c>
      <c r="H53" s="8">
        <v>100</v>
      </c>
      <c r="I53" s="8">
        <f t="shared" si="3"/>
        <v>17800</v>
      </c>
      <c r="J53" s="8">
        <f t="shared" si="0"/>
        <v>2670</v>
      </c>
      <c r="K53" s="11">
        <f t="shared" si="1"/>
        <v>20470</v>
      </c>
      <c r="L53" s="12"/>
      <c r="M53" s="20"/>
    </row>
    <row r="54" spans="1:13" x14ac:dyDescent="0.3">
      <c r="A54" s="5">
        <v>46191</v>
      </c>
      <c r="B54" s="6">
        <v>378</v>
      </c>
      <c r="C54" s="6" t="s">
        <v>13</v>
      </c>
      <c r="D54" s="7" t="s">
        <v>164</v>
      </c>
      <c r="E54" s="7" t="s">
        <v>16</v>
      </c>
      <c r="F54" s="8">
        <v>500</v>
      </c>
      <c r="G54" s="8">
        <v>180</v>
      </c>
      <c r="H54" s="8">
        <v>500</v>
      </c>
      <c r="I54" s="8">
        <f t="shared" si="3"/>
        <v>90000</v>
      </c>
      <c r="J54" s="8">
        <f t="shared" si="0"/>
        <v>13500</v>
      </c>
      <c r="K54" s="11">
        <f t="shared" si="1"/>
        <v>103500</v>
      </c>
      <c r="L54" s="12"/>
      <c r="M54" s="20"/>
    </row>
    <row r="55" spans="1:13" x14ac:dyDescent="0.3">
      <c r="A55" s="5">
        <v>46191</v>
      </c>
      <c r="B55" s="6">
        <v>379</v>
      </c>
      <c r="C55" s="6" t="s">
        <v>158</v>
      </c>
      <c r="D55" s="6" t="s">
        <v>174</v>
      </c>
      <c r="E55" s="6" t="s">
        <v>189</v>
      </c>
      <c r="F55" s="8">
        <v>10</v>
      </c>
      <c r="G55" s="8">
        <v>365</v>
      </c>
      <c r="H55" s="8">
        <v>10</v>
      </c>
      <c r="I55" s="8">
        <f t="shared" si="3"/>
        <v>3650</v>
      </c>
      <c r="J55" s="8">
        <f t="shared" si="0"/>
        <v>547.5</v>
      </c>
      <c r="K55" s="11">
        <f t="shared" si="1"/>
        <v>4197.5</v>
      </c>
      <c r="L55" s="12"/>
      <c r="M55" s="20"/>
    </row>
    <row r="56" spans="1:13" x14ac:dyDescent="0.3">
      <c r="A56" s="5">
        <v>46193</v>
      </c>
      <c r="B56" s="6">
        <v>380</v>
      </c>
      <c r="C56" s="6" t="s">
        <v>13</v>
      </c>
      <c r="D56" s="7" t="s">
        <v>47</v>
      </c>
      <c r="E56" s="6" t="s">
        <v>132</v>
      </c>
      <c r="F56" s="8">
        <v>250</v>
      </c>
      <c r="G56" s="8">
        <v>375</v>
      </c>
      <c r="H56" s="8">
        <v>250</v>
      </c>
      <c r="I56" s="102">
        <f t="shared" si="3"/>
        <v>93750</v>
      </c>
      <c r="J56" s="102">
        <f t="shared" si="0"/>
        <v>14062.5</v>
      </c>
      <c r="K56" s="11">
        <f t="shared" si="1"/>
        <v>107812.5</v>
      </c>
      <c r="L56" s="12"/>
    </row>
    <row r="57" spans="1:13" x14ac:dyDescent="0.3">
      <c r="A57" s="5">
        <v>46194</v>
      </c>
      <c r="B57" s="6">
        <v>381</v>
      </c>
      <c r="C57" s="6" t="s">
        <v>158</v>
      </c>
      <c r="D57" s="7" t="s">
        <v>175</v>
      </c>
      <c r="E57" s="6" t="s">
        <v>22</v>
      </c>
      <c r="F57" s="8">
        <v>50</v>
      </c>
      <c r="G57" s="8">
        <v>178</v>
      </c>
      <c r="H57" s="8">
        <v>50</v>
      </c>
      <c r="I57" s="8">
        <f t="shared" si="3"/>
        <v>8900</v>
      </c>
      <c r="J57" s="8">
        <f t="shared" si="0"/>
        <v>1335</v>
      </c>
      <c r="K57" s="11">
        <f t="shared" si="1"/>
        <v>10235</v>
      </c>
      <c r="L57" s="12"/>
      <c r="M57" s="20"/>
    </row>
    <row r="58" spans="1:13" x14ac:dyDescent="0.3">
      <c r="A58" s="5">
        <v>46194</v>
      </c>
      <c r="B58" s="6">
        <v>382</v>
      </c>
      <c r="C58" s="6" t="s">
        <v>13</v>
      </c>
      <c r="D58" s="7" t="s">
        <v>167</v>
      </c>
      <c r="E58" s="6" t="s">
        <v>171</v>
      </c>
      <c r="F58" s="8">
        <v>18</v>
      </c>
      <c r="G58" s="8">
        <v>450</v>
      </c>
      <c r="H58" s="8">
        <v>18</v>
      </c>
      <c r="I58" s="8">
        <f t="shared" si="3"/>
        <v>8100</v>
      </c>
      <c r="J58" s="8">
        <f t="shared" si="0"/>
        <v>1215</v>
      </c>
      <c r="K58" s="11">
        <f t="shared" si="1"/>
        <v>9315</v>
      </c>
      <c r="L58" s="12"/>
      <c r="M58" s="20"/>
    </row>
    <row r="59" spans="1:13" x14ac:dyDescent="0.3">
      <c r="A59" s="5">
        <v>46194</v>
      </c>
      <c r="B59" s="6">
        <v>383</v>
      </c>
      <c r="C59" s="6" t="s">
        <v>13</v>
      </c>
      <c r="D59" s="6" t="s">
        <v>178</v>
      </c>
      <c r="E59" s="6" t="s">
        <v>171</v>
      </c>
      <c r="F59" s="8">
        <v>4</v>
      </c>
      <c r="G59" s="8">
        <v>450</v>
      </c>
      <c r="H59" s="8">
        <v>4</v>
      </c>
      <c r="I59" s="8">
        <f t="shared" si="3"/>
        <v>1800</v>
      </c>
      <c r="J59" s="8">
        <f t="shared" si="0"/>
        <v>270</v>
      </c>
      <c r="K59" s="11">
        <f t="shared" si="1"/>
        <v>2070</v>
      </c>
      <c r="L59" s="12"/>
    </row>
    <row r="60" spans="1:13" x14ac:dyDescent="0.3">
      <c r="A60" s="5">
        <v>46194</v>
      </c>
      <c r="B60" s="6">
        <v>384</v>
      </c>
      <c r="C60" s="6" t="s">
        <v>13</v>
      </c>
      <c r="D60" s="7" t="s">
        <v>184</v>
      </c>
      <c r="E60" s="6" t="s">
        <v>224</v>
      </c>
      <c r="F60" s="8">
        <v>10</v>
      </c>
      <c r="G60" s="8">
        <v>700</v>
      </c>
      <c r="H60" s="8">
        <v>10</v>
      </c>
      <c r="I60" s="8">
        <f t="shared" si="3"/>
        <v>7000</v>
      </c>
      <c r="J60" s="8">
        <f t="shared" si="0"/>
        <v>1050</v>
      </c>
      <c r="K60" s="11">
        <f t="shared" si="1"/>
        <v>8050</v>
      </c>
      <c r="L60" s="12"/>
    </row>
    <row r="61" spans="1:13" x14ac:dyDescent="0.3">
      <c r="A61" s="5">
        <v>46195</v>
      </c>
      <c r="B61" s="6">
        <v>385</v>
      </c>
      <c r="C61" s="6" t="s">
        <v>13</v>
      </c>
      <c r="D61" s="7" t="s">
        <v>226</v>
      </c>
      <c r="E61" s="7" t="s">
        <v>188</v>
      </c>
      <c r="F61" s="8">
        <v>150</v>
      </c>
      <c r="G61" s="8">
        <v>425</v>
      </c>
      <c r="H61" s="8">
        <v>150</v>
      </c>
      <c r="I61" s="8">
        <f t="shared" si="3"/>
        <v>63750</v>
      </c>
      <c r="J61" s="8">
        <f t="shared" si="0"/>
        <v>9562.5</v>
      </c>
      <c r="K61" s="11">
        <f t="shared" si="1"/>
        <v>73312.5</v>
      </c>
      <c r="L61" s="12"/>
    </row>
    <row r="62" spans="1:13" x14ac:dyDescent="0.3">
      <c r="A62" s="5"/>
      <c r="B62" s="6"/>
      <c r="C62" s="6"/>
      <c r="D62" s="7"/>
      <c r="E62" s="7"/>
      <c r="F62" s="8"/>
      <c r="G62" s="8"/>
      <c r="H62" s="8"/>
      <c r="I62" s="8">
        <f t="shared" si="3"/>
        <v>0</v>
      </c>
      <c r="J62" s="8">
        <f t="shared" si="0"/>
        <v>0</v>
      </c>
      <c r="K62" s="11">
        <f t="shared" si="1"/>
        <v>0</v>
      </c>
      <c r="L62" s="12"/>
    </row>
    <row r="63" spans="1:13" x14ac:dyDescent="0.3">
      <c r="A63" s="5"/>
      <c r="B63" s="6"/>
      <c r="C63" s="6"/>
      <c r="D63" s="7"/>
      <c r="E63" s="6"/>
      <c r="F63" s="8"/>
      <c r="G63" s="8"/>
      <c r="H63" s="8"/>
      <c r="I63" s="8">
        <f t="shared" si="3"/>
        <v>0</v>
      </c>
      <c r="J63" s="8">
        <f t="shared" si="0"/>
        <v>0</v>
      </c>
      <c r="K63" s="11">
        <f t="shared" si="1"/>
        <v>0</v>
      </c>
      <c r="L63" s="12"/>
    </row>
    <row r="64" spans="1:13" x14ac:dyDescent="0.3">
      <c r="A64" s="5"/>
      <c r="B64" s="6"/>
      <c r="C64" s="6"/>
      <c r="D64" s="6"/>
      <c r="E64" s="6"/>
      <c r="F64" s="8"/>
      <c r="G64" s="8"/>
      <c r="H64" s="8"/>
      <c r="I64" s="8">
        <f t="shared" si="3"/>
        <v>0</v>
      </c>
      <c r="J64" s="8">
        <f t="shared" si="0"/>
        <v>0</v>
      </c>
      <c r="K64" s="11">
        <f t="shared" si="1"/>
        <v>0</v>
      </c>
      <c r="L64" s="12"/>
    </row>
    <row r="65" spans="1:13" x14ac:dyDescent="0.3">
      <c r="A65" s="5"/>
      <c r="B65" s="6"/>
      <c r="C65" s="6"/>
      <c r="D65" s="7"/>
      <c r="E65" s="6"/>
      <c r="F65" s="8"/>
      <c r="G65" s="8"/>
      <c r="H65" s="8"/>
      <c r="I65" s="8">
        <f t="shared" si="3"/>
        <v>0</v>
      </c>
      <c r="J65" s="8">
        <f t="shared" si="0"/>
        <v>0</v>
      </c>
      <c r="K65" s="11">
        <f t="shared" si="1"/>
        <v>0</v>
      </c>
      <c r="L65" s="12"/>
    </row>
    <row r="66" spans="1:13" x14ac:dyDescent="0.3">
      <c r="A66" s="5"/>
      <c r="B66" s="6"/>
      <c r="C66" s="6"/>
      <c r="D66" s="6"/>
      <c r="E66" s="6"/>
      <c r="F66" s="8"/>
      <c r="G66" s="8"/>
      <c r="H66" s="8"/>
      <c r="I66" s="8">
        <f t="shared" si="3"/>
        <v>0</v>
      </c>
      <c r="J66" s="8">
        <f t="shared" si="0"/>
        <v>0</v>
      </c>
      <c r="K66" s="11">
        <f t="shared" si="1"/>
        <v>0</v>
      </c>
      <c r="L66" s="12"/>
      <c r="M66" s="20"/>
    </row>
    <row r="67" spans="1:13" x14ac:dyDescent="0.3">
      <c r="A67" s="5"/>
      <c r="B67" s="6"/>
      <c r="C67" s="6"/>
      <c r="D67" s="6"/>
      <c r="E67" s="6"/>
      <c r="F67" s="8"/>
      <c r="G67" s="8"/>
      <c r="H67" s="8"/>
      <c r="I67" s="8">
        <f t="shared" si="3"/>
        <v>0</v>
      </c>
      <c r="J67" s="8">
        <f t="shared" si="0"/>
        <v>0</v>
      </c>
      <c r="K67" s="11">
        <f t="shared" si="1"/>
        <v>0</v>
      </c>
      <c r="L67" s="12"/>
    </row>
    <row r="68" spans="1:13" x14ac:dyDescent="0.3">
      <c r="A68" s="5"/>
      <c r="B68" s="6"/>
      <c r="C68" s="6"/>
      <c r="D68" s="6"/>
      <c r="E68" s="7"/>
      <c r="F68" s="8"/>
      <c r="G68" s="8"/>
      <c r="H68" s="8"/>
      <c r="I68" s="8">
        <f t="shared" si="3"/>
        <v>0</v>
      </c>
      <c r="J68" s="8">
        <f t="shared" si="0"/>
        <v>0</v>
      </c>
      <c r="K68" s="11">
        <f t="shared" si="1"/>
        <v>0</v>
      </c>
      <c r="L68" s="12"/>
      <c r="M68" s="20"/>
    </row>
    <row r="69" spans="1:13" x14ac:dyDescent="0.3">
      <c r="A69" s="5"/>
      <c r="B69" s="6"/>
      <c r="C69" s="6"/>
      <c r="D69" s="6"/>
      <c r="E69" s="6"/>
      <c r="F69" s="8"/>
      <c r="G69" s="8"/>
      <c r="H69" s="8"/>
      <c r="I69" s="8">
        <f t="shared" si="3"/>
        <v>0</v>
      </c>
      <c r="J69" s="8">
        <f t="shared" si="0"/>
        <v>0</v>
      </c>
      <c r="K69" s="11">
        <f t="shared" si="1"/>
        <v>0</v>
      </c>
      <c r="L69" s="12"/>
    </row>
    <row r="70" spans="1:13" x14ac:dyDescent="0.3">
      <c r="A70" s="5"/>
      <c r="B70" s="6"/>
      <c r="C70" s="6"/>
      <c r="D70" s="6"/>
      <c r="E70" s="6"/>
      <c r="F70" s="8"/>
      <c r="G70" s="8"/>
      <c r="H70" s="8"/>
      <c r="I70" s="8">
        <f t="shared" si="3"/>
        <v>0</v>
      </c>
      <c r="J70" s="8">
        <f t="shared" si="0"/>
        <v>0</v>
      </c>
      <c r="K70" s="11">
        <f t="shared" si="1"/>
        <v>0</v>
      </c>
      <c r="L70" s="12"/>
      <c r="M70" s="20"/>
    </row>
    <row r="71" spans="1:13" x14ac:dyDescent="0.3">
      <c r="A71" s="5"/>
      <c r="B71" s="6"/>
      <c r="C71" s="6"/>
      <c r="D71" s="6"/>
      <c r="E71" s="7"/>
      <c r="F71" s="8"/>
      <c r="G71" s="8"/>
      <c r="H71" s="8"/>
      <c r="I71" s="8">
        <f t="shared" si="3"/>
        <v>0</v>
      </c>
      <c r="J71" s="8">
        <f t="shared" si="0"/>
        <v>0</v>
      </c>
      <c r="K71" s="11">
        <f t="shared" si="1"/>
        <v>0</v>
      </c>
      <c r="L71" s="12"/>
      <c r="M71" s="20"/>
    </row>
    <row r="72" spans="1:13" x14ac:dyDescent="0.3">
      <c r="A72" s="5"/>
      <c r="B72" s="6"/>
      <c r="C72" s="6"/>
      <c r="D72" s="6"/>
      <c r="E72" s="7"/>
      <c r="F72" s="8"/>
      <c r="G72" s="8"/>
      <c r="H72" s="8"/>
      <c r="I72" s="8">
        <f t="shared" si="3"/>
        <v>0</v>
      </c>
      <c r="J72" s="8">
        <f t="shared" si="0"/>
        <v>0</v>
      </c>
      <c r="K72" s="11">
        <f t="shared" si="1"/>
        <v>0</v>
      </c>
      <c r="L72" s="12"/>
      <c r="M72" s="20"/>
    </row>
    <row r="73" spans="1:13" x14ac:dyDescent="0.3">
      <c r="A73" s="5"/>
      <c r="B73" s="6"/>
      <c r="C73" s="6"/>
      <c r="D73" s="7"/>
      <c r="E73" s="7"/>
      <c r="F73" s="8"/>
      <c r="G73" s="8"/>
      <c r="H73" s="8"/>
      <c r="I73" s="8">
        <f t="shared" si="3"/>
        <v>0</v>
      </c>
      <c r="J73" s="8">
        <f t="shared" si="0"/>
        <v>0</v>
      </c>
      <c r="K73" s="11">
        <f t="shared" si="1"/>
        <v>0</v>
      </c>
      <c r="L73" s="12"/>
    </row>
    <row r="74" spans="1:13" x14ac:dyDescent="0.3">
      <c r="A74" s="5"/>
      <c r="B74" s="6"/>
      <c r="C74" s="6"/>
      <c r="D74" s="6"/>
      <c r="E74" s="6"/>
      <c r="F74" s="8"/>
      <c r="G74" s="8"/>
      <c r="H74" s="8"/>
      <c r="I74" s="8">
        <f t="shared" si="3"/>
        <v>0</v>
      </c>
      <c r="J74" s="8">
        <f t="shared" si="0"/>
        <v>0</v>
      </c>
      <c r="K74" s="11">
        <f t="shared" si="1"/>
        <v>0</v>
      </c>
      <c r="L74" s="12"/>
    </row>
    <row r="75" spans="1:13" x14ac:dyDescent="0.3">
      <c r="A75" s="5"/>
      <c r="B75" s="6"/>
      <c r="C75" s="6"/>
      <c r="D75" s="6"/>
      <c r="E75" s="6"/>
      <c r="F75" s="8"/>
      <c r="G75" s="8"/>
      <c r="H75" s="8"/>
      <c r="I75" s="8">
        <f t="shared" si="3"/>
        <v>0</v>
      </c>
      <c r="J75" s="8">
        <f t="shared" si="0"/>
        <v>0</v>
      </c>
      <c r="K75" s="11">
        <f t="shared" si="1"/>
        <v>0</v>
      </c>
      <c r="L75" s="12"/>
    </row>
    <row r="76" spans="1:13" x14ac:dyDescent="0.3">
      <c r="A76" s="5"/>
      <c r="B76" s="6"/>
      <c r="C76" s="6"/>
      <c r="D76" s="7"/>
      <c r="E76" s="6"/>
      <c r="F76" s="8"/>
      <c r="G76" s="8"/>
      <c r="H76" s="8"/>
      <c r="I76" s="8">
        <f t="shared" si="3"/>
        <v>0</v>
      </c>
      <c r="J76" s="8">
        <f t="shared" si="0"/>
        <v>0</v>
      </c>
      <c r="K76" s="11">
        <f t="shared" si="1"/>
        <v>0</v>
      </c>
      <c r="L76" s="12"/>
    </row>
    <row r="77" spans="1:13" x14ac:dyDescent="0.3">
      <c r="A77" s="5"/>
      <c r="B77" s="6"/>
      <c r="C77" s="6"/>
      <c r="D77" s="7"/>
      <c r="E77" s="6"/>
      <c r="F77" s="8"/>
      <c r="G77" s="8"/>
      <c r="H77" s="8"/>
      <c r="I77" s="8">
        <f t="shared" si="3"/>
        <v>0</v>
      </c>
      <c r="J77" s="8">
        <f t="shared" si="0"/>
        <v>0</v>
      </c>
      <c r="K77" s="11">
        <f t="shared" si="1"/>
        <v>0</v>
      </c>
      <c r="L77" s="12"/>
    </row>
    <row r="78" spans="1:13" x14ac:dyDescent="0.3">
      <c r="A78" s="5"/>
      <c r="B78" s="6"/>
      <c r="C78" s="6"/>
      <c r="D78" s="6"/>
      <c r="E78" s="7"/>
      <c r="F78" s="8"/>
      <c r="G78" s="8"/>
      <c r="H78" s="8"/>
      <c r="I78" s="8">
        <f t="shared" si="3"/>
        <v>0</v>
      </c>
      <c r="J78" s="8">
        <f t="shared" si="0"/>
        <v>0</v>
      </c>
      <c r="K78" s="11">
        <f t="shared" si="1"/>
        <v>0</v>
      </c>
      <c r="L78" s="12"/>
      <c r="M78" s="20"/>
    </row>
    <row r="79" spans="1:13" x14ac:dyDescent="0.3">
      <c r="A79" s="5"/>
      <c r="B79" s="6"/>
      <c r="C79" s="6"/>
      <c r="D79" s="6"/>
      <c r="E79" s="6"/>
      <c r="F79" s="8"/>
      <c r="G79" s="8"/>
      <c r="H79" s="8"/>
      <c r="I79" s="8">
        <f t="shared" si="3"/>
        <v>0</v>
      </c>
      <c r="J79" s="8">
        <f t="shared" si="0"/>
        <v>0</v>
      </c>
      <c r="K79" s="11">
        <f t="shared" si="1"/>
        <v>0</v>
      </c>
      <c r="L79" s="12"/>
    </row>
    <row r="80" spans="1:13" x14ac:dyDescent="0.3">
      <c r="A80" s="5"/>
      <c r="B80" s="6"/>
      <c r="C80" s="6"/>
      <c r="D80" s="6"/>
      <c r="E80" s="7"/>
      <c r="F80" s="8"/>
      <c r="G80" s="8"/>
      <c r="H80" s="8"/>
      <c r="I80" s="8">
        <f t="shared" si="3"/>
        <v>0</v>
      </c>
      <c r="J80" s="8">
        <f t="shared" si="0"/>
        <v>0</v>
      </c>
      <c r="K80" s="11">
        <f t="shared" si="1"/>
        <v>0</v>
      </c>
      <c r="L80" s="12"/>
    </row>
    <row r="81" spans="1:13" x14ac:dyDescent="0.3">
      <c r="A81" s="5"/>
      <c r="B81" s="6"/>
      <c r="C81" s="6"/>
      <c r="D81" s="6"/>
      <c r="E81" s="7"/>
      <c r="F81" s="8"/>
      <c r="G81" s="8"/>
      <c r="H81" s="8"/>
      <c r="I81" s="8">
        <f t="shared" si="3"/>
        <v>0</v>
      </c>
      <c r="J81" s="8">
        <f t="shared" si="0"/>
        <v>0</v>
      </c>
      <c r="K81" s="11">
        <f t="shared" si="1"/>
        <v>0</v>
      </c>
      <c r="L81" s="12"/>
    </row>
    <row r="82" spans="1:13" x14ac:dyDescent="0.3">
      <c r="A82" s="5"/>
      <c r="B82" s="6"/>
      <c r="C82" s="6"/>
      <c r="D82" s="7"/>
      <c r="E82" s="6"/>
      <c r="F82" s="8"/>
      <c r="G82" s="8"/>
      <c r="H82" s="8"/>
      <c r="I82" s="8">
        <f t="shared" si="3"/>
        <v>0</v>
      </c>
      <c r="J82" s="8">
        <f t="shared" si="0"/>
        <v>0</v>
      </c>
      <c r="K82" s="11">
        <f t="shared" si="1"/>
        <v>0</v>
      </c>
      <c r="L82" s="12"/>
    </row>
    <row r="83" spans="1:13" x14ac:dyDescent="0.3">
      <c r="A83" s="5"/>
      <c r="B83" s="6"/>
      <c r="C83" s="6"/>
      <c r="D83" s="6"/>
      <c r="E83" s="6"/>
      <c r="F83" s="8"/>
      <c r="G83" s="8"/>
      <c r="H83" s="8"/>
      <c r="I83" s="8">
        <f t="shared" si="3"/>
        <v>0</v>
      </c>
      <c r="J83" s="8">
        <f t="shared" si="0"/>
        <v>0</v>
      </c>
      <c r="K83" s="11">
        <f t="shared" si="1"/>
        <v>0</v>
      </c>
      <c r="L83" s="12"/>
    </row>
    <row r="84" spans="1:13" x14ac:dyDescent="0.3">
      <c r="A84" s="5"/>
      <c r="B84" s="6"/>
      <c r="C84" s="6"/>
      <c r="D84" s="6"/>
      <c r="E84" s="6"/>
      <c r="F84" s="8"/>
      <c r="G84" s="8"/>
      <c r="H84" s="8"/>
      <c r="I84" s="8">
        <f t="shared" si="3"/>
        <v>0</v>
      </c>
      <c r="J84" s="8">
        <f t="shared" si="0"/>
        <v>0</v>
      </c>
      <c r="K84" s="11">
        <f t="shared" si="1"/>
        <v>0</v>
      </c>
      <c r="L84" s="12"/>
    </row>
    <row r="85" spans="1:13" x14ac:dyDescent="0.3">
      <c r="A85" s="5"/>
      <c r="B85" s="6"/>
      <c r="C85" s="6"/>
      <c r="D85" s="6"/>
      <c r="E85" s="6"/>
      <c r="F85" s="8"/>
      <c r="G85" s="8"/>
      <c r="H85" s="8"/>
      <c r="I85" s="8">
        <f t="shared" si="3"/>
        <v>0</v>
      </c>
      <c r="J85" s="8">
        <f t="shared" si="0"/>
        <v>0</v>
      </c>
      <c r="K85" s="11">
        <f t="shared" si="1"/>
        <v>0</v>
      </c>
      <c r="L85" s="12"/>
    </row>
    <row r="86" spans="1:13" x14ac:dyDescent="0.3">
      <c r="A86" s="5"/>
      <c r="B86" s="6"/>
      <c r="C86" s="6"/>
      <c r="D86" s="7"/>
      <c r="E86" s="6"/>
      <c r="F86" s="8"/>
      <c r="G86" s="8"/>
      <c r="H86" s="8"/>
      <c r="I86" s="8">
        <f t="shared" si="3"/>
        <v>0</v>
      </c>
      <c r="J86" s="8">
        <f t="shared" si="0"/>
        <v>0</v>
      </c>
      <c r="K86" s="11">
        <f t="shared" si="1"/>
        <v>0</v>
      </c>
      <c r="L86" s="12"/>
      <c r="M86" s="20"/>
    </row>
    <row r="87" spans="1:13" x14ac:dyDescent="0.3">
      <c r="A87" s="5"/>
      <c r="B87" s="6"/>
      <c r="C87" s="6"/>
      <c r="D87" s="6"/>
      <c r="E87" s="6"/>
      <c r="F87" s="8"/>
      <c r="G87" s="8"/>
      <c r="H87" s="8"/>
      <c r="I87" s="8">
        <f t="shared" si="3"/>
        <v>0</v>
      </c>
      <c r="J87" s="8">
        <f t="shared" si="0"/>
        <v>0</v>
      </c>
      <c r="K87" s="11">
        <f t="shared" si="1"/>
        <v>0</v>
      </c>
      <c r="L87" s="12"/>
      <c r="M87" s="20"/>
    </row>
    <row r="88" spans="1:13" x14ac:dyDescent="0.3">
      <c r="A88" s="5"/>
      <c r="B88" s="6"/>
      <c r="C88" s="6"/>
      <c r="D88" s="6"/>
      <c r="E88" s="6"/>
      <c r="F88" s="8"/>
      <c r="G88" s="8"/>
      <c r="H88" s="8"/>
      <c r="I88" s="8">
        <f t="shared" si="3"/>
        <v>0</v>
      </c>
      <c r="J88" s="8">
        <f t="shared" si="0"/>
        <v>0</v>
      </c>
      <c r="K88" s="11">
        <f t="shared" si="1"/>
        <v>0</v>
      </c>
      <c r="L88" s="12"/>
      <c r="M88" s="20"/>
    </row>
    <row r="89" spans="1:13" x14ac:dyDescent="0.3">
      <c r="A89" s="5"/>
      <c r="B89" s="6"/>
      <c r="C89" s="6"/>
      <c r="D89" s="6"/>
      <c r="E89" s="6"/>
      <c r="F89" s="8"/>
      <c r="G89" s="8"/>
      <c r="H89" s="8"/>
      <c r="I89" s="8">
        <f t="shared" si="3"/>
        <v>0</v>
      </c>
      <c r="J89" s="8">
        <f t="shared" si="0"/>
        <v>0</v>
      </c>
      <c r="K89" s="11">
        <f t="shared" si="1"/>
        <v>0</v>
      </c>
      <c r="L89" s="12"/>
      <c r="M89" s="20"/>
    </row>
    <row r="90" spans="1:13" x14ac:dyDescent="0.3">
      <c r="A90" s="5"/>
      <c r="B90" s="6"/>
      <c r="C90" s="6"/>
      <c r="D90" s="6"/>
      <c r="E90" s="6"/>
      <c r="F90" s="8"/>
      <c r="G90" s="8"/>
      <c r="H90" s="8"/>
      <c r="I90" s="8">
        <f t="shared" si="3"/>
        <v>0</v>
      </c>
      <c r="J90" s="8">
        <f t="shared" si="0"/>
        <v>0</v>
      </c>
      <c r="K90" s="11">
        <f t="shared" si="1"/>
        <v>0</v>
      </c>
      <c r="L90" s="12"/>
      <c r="M90" s="20"/>
    </row>
    <row r="91" spans="1:13" x14ac:dyDescent="0.3">
      <c r="A91" s="5"/>
      <c r="B91" s="6"/>
      <c r="C91" s="6"/>
      <c r="D91" s="7"/>
      <c r="E91" s="6"/>
      <c r="F91" s="8"/>
      <c r="G91" s="8"/>
      <c r="H91" s="8"/>
      <c r="I91" s="8">
        <f t="shared" si="3"/>
        <v>0</v>
      </c>
      <c r="J91" s="8">
        <f t="shared" si="0"/>
        <v>0</v>
      </c>
      <c r="K91" s="11">
        <f t="shared" si="1"/>
        <v>0</v>
      </c>
      <c r="L91" s="12"/>
      <c r="M91" s="20"/>
    </row>
    <row r="92" spans="1:13" x14ac:dyDescent="0.3">
      <c r="A92" s="5"/>
      <c r="B92" s="6"/>
      <c r="C92" s="6"/>
      <c r="D92" s="6"/>
      <c r="E92" s="6"/>
      <c r="F92" s="8"/>
      <c r="G92" s="8"/>
      <c r="H92" s="8"/>
      <c r="I92" s="8">
        <f t="shared" si="3"/>
        <v>0</v>
      </c>
      <c r="J92" s="8">
        <f t="shared" si="0"/>
        <v>0</v>
      </c>
      <c r="K92" s="11">
        <f t="shared" si="1"/>
        <v>0</v>
      </c>
      <c r="L92" s="12"/>
    </row>
    <row r="93" spans="1:13" x14ac:dyDescent="0.3">
      <c r="A93" s="5"/>
      <c r="B93" s="6"/>
      <c r="C93" s="6"/>
      <c r="D93" s="6"/>
      <c r="E93" s="6"/>
      <c r="F93" s="8"/>
      <c r="G93" s="8"/>
      <c r="H93" s="8"/>
      <c r="I93" s="8">
        <f t="shared" si="3"/>
        <v>0</v>
      </c>
      <c r="J93" s="8">
        <f t="shared" si="0"/>
        <v>0</v>
      </c>
      <c r="K93" s="11">
        <f t="shared" si="1"/>
        <v>0</v>
      </c>
      <c r="L93" s="12"/>
      <c r="M93" s="20"/>
    </row>
    <row r="94" spans="1:13" x14ac:dyDescent="0.3">
      <c r="A94" s="5"/>
      <c r="B94" s="6"/>
      <c r="C94" s="6"/>
      <c r="D94" s="6"/>
      <c r="E94" s="6"/>
      <c r="F94" s="8"/>
      <c r="G94" s="8"/>
      <c r="H94" s="8"/>
      <c r="I94" s="8">
        <f t="shared" si="3"/>
        <v>0</v>
      </c>
      <c r="J94" s="8">
        <f t="shared" si="0"/>
        <v>0</v>
      </c>
      <c r="K94" s="11">
        <f t="shared" si="1"/>
        <v>0</v>
      </c>
      <c r="L94" s="12"/>
      <c r="M94" s="20"/>
    </row>
    <row r="95" spans="1:13" x14ac:dyDescent="0.3">
      <c r="A95" s="5"/>
      <c r="B95" s="6"/>
      <c r="C95" s="6"/>
      <c r="D95" s="6"/>
      <c r="E95" s="6"/>
      <c r="F95" s="8"/>
      <c r="G95" s="8"/>
      <c r="H95" s="8"/>
      <c r="I95" s="8">
        <f t="shared" si="3"/>
        <v>0</v>
      </c>
      <c r="J95" s="8">
        <f t="shared" si="0"/>
        <v>0</v>
      </c>
      <c r="K95" s="11">
        <f t="shared" si="1"/>
        <v>0</v>
      </c>
      <c r="L95" s="12"/>
      <c r="M95" s="20"/>
    </row>
    <row r="96" spans="1:13" x14ac:dyDescent="0.3">
      <c r="A96" s="5"/>
      <c r="B96" s="6"/>
      <c r="C96" s="6"/>
      <c r="D96" s="6"/>
      <c r="E96" s="6"/>
      <c r="F96" s="8"/>
      <c r="G96" s="8"/>
      <c r="H96" s="8"/>
      <c r="I96" s="8">
        <f t="shared" si="3"/>
        <v>0</v>
      </c>
      <c r="J96" s="8">
        <f t="shared" si="0"/>
        <v>0</v>
      </c>
      <c r="K96" s="11">
        <f t="shared" si="1"/>
        <v>0</v>
      </c>
      <c r="L96" s="12"/>
      <c r="M96" s="20"/>
    </row>
    <row r="97" spans="1:13" x14ac:dyDescent="0.3">
      <c r="A97" s="5"/>
      <c r="B97" s="6"/>
      <c r="C97" s="6"/>
      <c r="D97" s="6"/>
      <c r="E97" s="6"/>
      <c r="F97" s="8"/>
      <c r="G97" s="8"/>
      <c r="H97" s="8"/>
      <c r="I97" s="8">
        <f t="shared" si="3"/>
        <v>0</v>
      </c>
      <c r="J97" s="8">
        <f t="shared" si="0"/>
        <v>0</v>
      </c>
      <c r="K97" s="11">
        <f t="shared" si="1"/>
        <v>0</v>
      </c>
      <c r="L97" s="12"/>
    </row>
    <row r="98" spans="1:13" x14ac:dyDescent="0.3">
      <c r="A98" s="5"/>
      <c r="B98" s="6"/>
      <c r="C98" s="6"/>
      <c r="D98" s="6"/>
      <c r="E98" s="6"/>
      <c r="F98" s="8"/>
      <c r="G98" s="8"/>
      <c r="H98" s="8"/>
      <c r="I98" s="8">
        <f t="shared" si="3"/>
        <v>0</v>
      </c>
      <c r="J98" s="8">
        <f t="shared" si="0"/>
        <v>0</v>
      </c>
      <c r="K98" s="11">
        <f t="shared" si="1"/>
        <v>0</v>
      </c>
      <c r="L98" s="12"/>
    </row>
    <row r="99" spans="1:13" x14ac:dyDescent="0.3">
      <c r="A99" s="5"/>
      <c r="B99" s="6"/>
      <c r="C99" s="6"/>
      <c r="D99" s="6"/>
      <c r="E99" s="6"/>
      <c r="F99" s="8"/>
      <c r="G99" s="8"/>
      <c r="H99" s="8"/>
      <c r="I99" s="8">
        <f t="shared" si="3"/>
        <v>0</v>
      </c>
      <c r="J99" s="8">
        <f t="shared" si="0"/>
        <v>0</v>
      </c>
      <c r="K99" s="11">
        <f t="shared" si="1"/>
        <v>0</v>
      </c>
      <c r="L99" s="12"/>
      <c r="M99" s="20"/>
    </row>
    <row r="100" spans="1:13" x14ac:dyDescent="0.3">
      <c r="A100" s="5"/>
      <c r="B100" s="6"/>
      <c r="C100" s="6"/>
      <c r="D100" s="6"/>
      <c r="E100" s="6"/>
      <c r="F100" s="8"/>
      <c r="G100" s="8"/>
      <c r="H100" s="8"/>
      <c r="I100" s="8">
        <f t="shared" si="3"/>
        <v>0</v>
      </c>
      <c r="J100" s="8">
        <f t="shared" si="0"/>
        <v>0</v>
      </c>
      <c r="K100" s="11">
        <f t="shared" si="1"/>
        <v>0</v>
      </c>
      <c r="L100" s="12"/>
      <c r="M100" s="20"/>
    </row>
    <row r="101" spans="1:13" x14ac:dyDescent="0.3">
      <c r="A101" s="5"/>
      <c r="B101" s="6"/>
      <c r="C101" s="6"/>
      <c r="D101" s="6"/>
      <c r="E101" s="6"/>
      <c r="F101" s="8"/>
      <c r="G101" s="8"/>
      <c r="H101" s="8"/>
      <c r="I101" s="8">
        <f t="shared" si="3"/>
        <v>0</v>
      </c>
      <c r="J101" s="8">
        <f t="shared" si="0"/>
        <v>0</v>
      </c>
      <c r="K101" s="11">
        <f t="shared" si="1"/>
        <v>0</v>
      </c>
      <c r="L101" s="12"/>
      <c r="M101" s="20"/>
    </row>
    <row r="102" spans="1:13" x14ac:dyDescent="0.3">
      <c r="A102" s="5"/>
      <c r="B102" s="6"/>
      <c r="C102" s="6"/>
      <c r="D102" s="6"/>
      <c r="E102" s="6"/>
      <c r="F102" s="8"/>
      <c r="G102" s="8"/>
      <c r="H102" s="8"/>
      <c r="I102" s="8">
        <f t="shared" si="3"/>
        <v>0</v>
      </c>
      <c r="J102" s="8">
        <f t="shared" si="0"/>
        <v>0</v>
      </c>
      <c r="K102" s="11">
        <f t="shared" si="1"/>
        <v>0</v>
      </c>
      <c r="L102" s="12"/>
    </row>
    <row r="103" spans="1:13" x14ac:dyDescent="0.3">
      <c r="A103" s="5"/>
      <c r="B103" s="6"/>
      <c r="C103" s="6"/>
      <c r="D103" s="6"/>
      <c r="E103" s="6"/>
      <c r="F103" s="8"/>
      <c r="G103" s="8"/>
      <c r="H103" s="8"/>
      <c r="I103" s="8">
        <f t="shared" si="3"/>
        <v>0</v>
      </c>
      <c r="J103" s="8">
        <f t="shared" si="0"/>
        <v>0</v>
      </c>
      <c r="K103" s="11">
        <f t="shared" si="1"/>
        <v>0</v>
      </c>
      <c r="L103" s="12"/>
    </row>
    <row r="104" spans="1:13" x14ac:dyDescent="0.3">
      <c r="A104" s="5"/>
      <c r="B104" s="6"/>
      <c r="C104" s="6"/>
      <c r="D104" s="6"/>
      <c r="E104" s="6"/>
      <c r="F104" s="8"/>
      <c r="G104" s="8"/>
      <c r="H104" s="8"/>
      <c r="I104" s="8">
        <f t="shared" si="3"/>
        <v>0</v>
      </c>
      <c r="J104" s="8">
        <f t="shared" si="0"/>
        <v>0</v>
      </c>
      <c r="K104" s="11">
        <f t="shared" si="1"/>
        <v>0</v>
      </c>
      <c r="L104" s="12"/>
    </row>
    <row r="105" spans="1:13" x14ac:dyDescent="0.3">
      <c r="A105" s="5"/>
      <c r="B105" s="6"/>
      <c r="C105" s="6"/>
      <c r="D105" s="6"/>
      <c r="E105" s="6"/>
      <c r="F105" s="8"/>
      <c r="G105" s="8"/>
      <c r="H105" s="8"/>
      <c r="I105" s="8">
        <f t="shared" si="3"/>
        <v>0</v>
      </c>
      <c r="J105" s="8">
        <f t="shared" si="0"/>
        <v>0</v>
      </c>
      <c r="K105" s="11">
        <f t="shared" si="1"/>
        <v>0</v>
      </c>
      <c r="L105" s="12"/>
    </row>
    <row r="106" spans="1:13" x14ac:dyDescent="0.3">
      <c r="A106" s="5"/>
      <c r="B106" s="6"/>
      <c r="C106" s="6"/>
      <c r="D106" s="6"/>
      <c r="E106" s="6"/>
      <c r="F106" s="8"/>
      <c r="G106" s="8"/>
      <c r="H106" s="8"/>
      <c r="I106" s="8">
        <f t="shared" si="3"/>
        <v>0</v>
      </c>
      <c r="J106" s="8">
        <f t="shared" si="0"/>
        <v>0</v>
      </c>
      <c r="K106" s="11">
        <f t="shared" si="1"/>
        <v>0</v>
      </c>
      <c r="L106" s="12"/>
    </row>
    <row r="107" spans="1:13" x14ac:dyDescent="0.3">
      <c r="A107" s="5"/>
      <c r="B107" s="6"/>
      <c r="C107" s="6"/>
      <c r="D107" s="7"/>
      <c r="E107" s="6"/>
      <c r="F107" s="8"/>
      <c r="G107" s="8"/>
      <c r="H107" s="8"/>
      <c r="I107" s="8">
        <f t="shared" si="3"/>
        <v>0</v>
      </c>
      <c r="J107" s="8">
        <f t="shared" si="0"/>
        <v>0</v>
      </c>
      <c r="K107" s="11">
        <f t="shared" si="1"/>
        <v>0</v>
      </c>
      <c r="L107" s="12"/>
    </row>
    <row r="108" spans="1:13" x14ac:dyDescent="0.3">
      <c r="A108" s="5"/>
      <c r="B108" s="6"/>
      <c r="C108" s="6"/>
      <c r="D108" s="6"/>
      <c r="E108" s="6"/>
      <c r="F108" s="8"/>
      <c r="G108" s="8"/>
      <c r="H108" s="8"/>
      <c r="I108" s="8">
        <f t="shared" si="3"/>
        <v>0</v>
      </c>
      <c r="J108" s="8">
        <f t="shared" si="0"/>
        <v>0</v>
      </c>
      <c r="K108" s="11">
        <f t="shared" si="1"/>
        <v>0</v>
      </c>
      <c r="L108" s="12"/>
      <c r="M108" s="20"/>
    </row>
    <row r="109" spans="1:13" x14ac:dyDescent="0.3">
      <c r="A109" s="5"/>
      <c r="B109" s="6"/>
      <c r="C109" s="6"/>
      <c r="D109" s="6"/>
      <c r="E109" s="6"/>
      <c r="F109" s="8"/>
      <c r="G109" s="8"/>
      <c r="H109" s="8"/>
      <c r="I109" s="8">
        <f t="shared" si="3"/>
        <v>0</v>
      </c>
      <c r="J109" s="8">
        <f t="shared" si="0"/>
        <v>0</v>
      </c>
      <c r="K109" s="11">
        <f t="shared" si="1"/>
        <v>0</v>
      </c>
      <c r="L109" s="12"/>
    </row>
    <row r="110" spans="1:13" x14ac:dyDescent="0.3">
      <c r="A110" s="5"/>
      <c r="B110" s="6"/>
      <c r="C110" s="6"/>
      <c r="D110" s="6"/>
      <c r="E110" s="6"/>
      <c r="F110" s="8"/>
      <c r="G110" s="8"/>
      <c r="H110" s="8"/>
      <c r="I110" s="8">
        <f t="shared" si="3"/>
        <v>0</v>
      </c>
      <c r="J110" s="8">
        <f t="shared" si="0"/>
        <v>0</v>
      </c>
      <c r="K110" s="11">
        <f t="shared" si="1"/>
        <v>0</v>
      </c>
      <c r="L110" s="12"/>
    </row>
    <row r="111" spans="1:13" x14ac:dyDescent="0.3">
      <c r="A111" s="5"/>
      <c r="B111" s="6"/>
      <c r="C111" s="6"/>
      <c r="D111" s="6"/>
      <c r="E111" s="6"/>
      <c r="F111" s="8"/>
      <c r="G111" s="8"/>
      <c r="H111" s="8"/>
      <c r="I111" s="8">
        <f t="shared" si="3"/>
        <v>0</v>
      </c>
      <c r="J111" s="8">
        <f t="shared" si="0"/>
        <v>0</v>
      </c>
      <c r="K111" s="11">
        <f t="shared" si="1"/>
        <v>0</v>
      </c>
      <c r="L111" s="12"/>
    </row>
    <row r="112" spans="1:13" x14ac:dyDescent="0.3">
      <c r="A112" s="5"/>
      <c r="B112" s="6"/>
      <c r="C112" s="6"/>
      <c r="D112" s="6"/>
      <c r="E112" s="6"/>
      <c r="F112" s="8"/>
      <c r="G112" s="8"/>
      <c r="H112" s="8"/>
      <c r="I112" s="8">
        <f t="shared" si="3"/>
        <v>0</v>
      </c>
      <c r="J112" s="8">
        <f t="shared" si="0"/>
        <v>0</v>
      </c>
      <c r="K112" s="11">
        <f t="shared" si="1"/>
        <v>0</v>
      </c>
      <c r="L112" s="12"/>
    </row>
    <row r="113" spans="1:13" x14ac:dyDescent="0.3">
      <c r="A113" s="5"/>
      <c r="B113" s="6"/>
      <c r="C113" s="6"/>
      <c r="D113" s="6"/>
      <c r="E113" s="6"/>
      <c r="F113" s="8"/>
      <c r="G113" s="8"/>
      <c r="H113" s="8"/>
      <c r="I113" s="8">
        <f t="shared" si="3"/>
        <v>0</v>
      </c>
      <c r="J113" s="8">
        <f t="shared" si="0"/>
        <v>0</v>
      </c>
      <c r="K113" s="11">
        <f t="shared" si="1"/>
        <v>0</v>
      </c>
      <c r="L113" s="12"/>
    </row>
    <row r="114" spans="1:13" x14ac:dyDescent="0.3">
      <c r="A114" s="5"/>
      <c r="B114" s="6"/>
      <c r="C114" s="6"/>
      <c r="D114" s="6"/>
      <c r="E114" s="6"/>
      <c r="F114" s="8"/>
      <c r="G114" s="8"/>
      <c r="H114" s="8"/>
      <c r="I114" s="8">
        <f t="shared" si="3"/>
        <v>0</v>
      </c>
      <c r="J114" s="8">
        <f t="shared" si="0"/>
        <v>0</v>
      </c>
      <c r="K114" s="11">
        <f t="shared" si="1"/>
        <v>0</v>
      </c>
      <c r="L114" s="12"/>
    </row>
    <row r="115" spans="1:13" x14ac:dyDescent="0.3">
      <c r="A115" s="5"/>
      <c r="B115" s="6"/>
      <c r="C115" s="6"/>
      <c r="D115" s="6"/>
      <c r="E115" s="6"/>
      <c r="F115" s="8"/>
      <c r="G115" s="8"/>
      <c r="H115" s="8"/>
      <c r="I115" s="8">
        <f t="shared" si="3"/>
        <v>0</v>
      </c>
      <c r="J115" s="8">
        <f t="shared" si="0"/>
        <v>0</v>
      </c>
      <c r="K115" s="11">
        <f t="shared" si="1"/>
        <v>0</v>
      </c>
      <c r="L115" s="12"/>
    </row>
    <row r="116" spans="1:13" x14ac:dyDescent="0.3">
      <c r="A116" s="5"/>
      <c r="B116" s="6"/>
      <c r="C116" s="6"/>
      <c r="D116" s="6"/>
      <c r="E116" s="6"/>
      <c r="F116" s="8"/>
      <c r="G116" s="8"/>
      <c r="H116" s="8"/>
      <c r="I116" s="8">
        <f t="shared" si="3"/>
        <v>0</v>
      </c>
      <c r="J116" s="8">
        <f t="shared" si="0"/>
        <v>0</v>
      </c>
      <c r="K116" s="11">
        <f t="shared" si="1"/>
        <v>0</v>
      </c>
      <c r="L116" s="12"/>
    </row>
    <row r="117" spans="1:13" x14ac:dyDescent="0.3">
      <c r="A117" s="5"/>
      <c r="B117" s="6"/>
      <c r="C117" s="6"/>
      <c r="D117" s="6"/>
      <c r="E117" s="6"/>
      <c r="F117" s="8"/>
      <c r="G117" s="8"/>
      <c r="H117" s="8"/>
      <c r="I117" s="8">
        <f t="shared" si="3"/>
        <v>0</v>
      </c>
      <c r="J117" s="8">
        <f t="shared" si="0"/>
        <v>0</v>
      </c>
      <c r="K117" s="11">
        <f t="shared" si="1"/>
        <v>0</v>
      </c>
      <c r="L117" s="12"/>
      <c r="M117" s="20"/>
    </row>
    <row r="118" spans="1:13" x14ac:dyDescent="0.3">
      <c r="A118" s="5"/>
      <c r="B118" s="6"/>
      <c r="C118" s="6"/>
      <c r="D118" s="6"/>
      <c r="E118" s="6"/>
      <c r="F118" s="8"/>
      <c r="G118" s="8"/>
      <c r="H118" s="8"/>
      <c r="I118" s="8">
        <f t="shared" si="3"/>
        <v>0</v>
      </c>
      <c r="J118" s="8">
        <f t="shared" si="0"/>
        <v>0</v>
      </c>
      <c r="K118" s="11">
        <f t="shared" si="1"/>
        <v>0</v>
      </c>
      <c r="L118" s="12"/>
      <c r="M118" s="20"/>
    </row>
    <row r="119" spans="1:13" x14ac:dyDescent="0.3">
      <c r="A119" s="5"/>
      <c r="B119" s="6"/>
      <c r="C119" s="6"/>
      <c r="D119" s="6"/>
      <c r="E119" s="6"/>
      <c r="F119" s="8"/>
      <c r="G119" s="8"/>
      <c r="H119" s="8"/>
      <c r="I119" s="8">
        <f t="shared" si="3"/>
        <v>0</v>
      </c>
      <c r="J119" s="8">
        <f t="shared" si="0"/>
        <v>0</v>
      </c>
      <c r="K119" s="11">
        <f t="shared" si="1"/>
        <v>0</v>
      </c>
      <c r="L119" s="12"/>
    </row>
    <row r="120" spans="1:13" x14ac:dyDescent="0.3">
      <c r="A120" s="5"/>
      <c r="B120" s="6"/>
      <c r="C120" s="6"/>
      <c r="D120" s="7"/>
      <c r="E120" s="6"/>
      <c r="F120" s="8"/>
      <c r="G120" s="8"/>
      <c r="H120" s="8"/>
      <c r="I120" s="8">
        <f t="shared" si="3"/>
        <v>0</v>
      </c>
      <c r="J120" s="8">
        <f t="shared" si="0"/>
        <v>0</v>
      </c>
      <c r="K120" s="11">
        <f t="shared" si="1"/>
        <v>0</v>
      </c>
      <c r="L120" s="12"/>
    </row>
    <row r="121" spans="1:13" x14ac:dyDescent="0.3">
      <c r="A121" s="5"/>
      <c r="B121" s="6"/>
      <c r="C121" s="6"/>
      <c r="D121" s="7"/>
      <c r="E121" s="6"/>
      <c r="F121" s="8"/>
      <c r="G121" s="8"/>
      <c r="H121" s="8"/>
      <c r="I121" s="8">
        <f t="shared" si="3"/>
        <v>0</v>
      </c>
      <c r="J121" s="8">
        <f t="shared" si="0"/>
        <v>0</v>
      </c>
      <c r="K121" s="11">
        <f t="shared" si="1"/>
        <v>0</v>
      </c>
      <c r="L121" s="12"/>
      <c r="M121" s="20"/>
    </row>
    <row r="122" spans="1:13" x14ac:dyDescent="0.3">
      <c r="A122" s="5"/>
      <c r="B122" s="6"/>
      <c r="C122" s="6"/>
      <c r="D122" s="6"/>
      <c r="E122" s="6"/>
      <c r="F122" s="8"/>
      <c r="G122" s="8"/>
      <c r="H122" s="8"/>
      <c r="I122" s="8">
        <f t="shared" si="3"/>
        <v>0</v>
      </c>
      <c r="J122" s="8">
        <f t="shared" si="0"/>
        <v>0</v>
      </c>
      <c r="K122" s="11">
        <f t="shared" si="1"/>
        <v>0</v>
      </c>
      <c r="L122" s="12"/>
      <c r="M122" s="20"/>
    </row>
    <row r="123" spans="1:13" x14ac:dyDescent="0.3">
      <c r="A123" s="5"/>
      <c r="B123" s="6"/>
      <c r="C123" s="6"/>
      <c r="D123" s="6"/>
      <c r="E123" s="6"/>
      <c r="F123" s="8"/>
      <c r="G123" s="8"/>
      <c r="H123" s="8"/>
      <c r="I123" s="8">
        <f t="shared" si="3"/>
        <v>0</v>
      </c>
      <c r="J123" s="8">
        <f t="shared" si="0"/>
        <v>0</v>
      </c>
      <c r="K123" s="11">
        <f t="shared" si="1"/>
        <v>0</v>
      </c>
      <c r="L123" s="12"/>
    </row>
    <row r="124" spans="1:13" x14ac:dyDescent="0.3">
      <c r="A124" s="5"/>
      <c r="B124" s="6"/>
      <c r="C124" s="6"/>
      <c r="D124" s="6"/>
      <c r="E124" s="6"/>
      <c r="F124" s="8"/>
      <c r="G124" s="8"/>
      <c r="H124" s="8"/>
      <c r="I124" s="8">
        <f t="shared" si="3"/>
        <v>0</v>
      </c>
      <c r="J124" s="8">
        <f t="shared" si="0"/>
        <v>0</v>
      </c>
      <c r="K124" s="11">
        <f t="shared" si="1"/>
        <v>0</v>
      </c>
      <c r="L124" s="12"/>
    </row>
    <row r="125" spans="1:13" x14ac:dyDescent="0.3">
      <c r="A125" s="5"/>
      <c r="B125" s="6"/>
      <c r="C125" s="6"/>
      <c r="D125" s="7"/>
      <c r="E125" s="6"/>
      <c r="F125" s="8"/>
      <c r="G125" s="8"/>
      <c r="H125" s="8"/>
      <c r="I125" s="8">
        <f t="shared" si="3"/>
        <v>0</v>
      </c>
      <c r="J125" s="8">
        <f t="shared" si="0"/>
        <v>0</v>
      </c>
      <c r="K125" s="11">
        <f t="shared" si="1"/>
        <v>0</v>
      </c>
      <c r="L125" s="12"/>
    </row>
    <row r="126" spans="1:13" x14ac:dyDescent="0.3">
      <c r="A126" s="5"/>
      <c r="B126" s="6"/>
      <c r="C126" s="6"/>
      <c r="D126" s="6"/>
      <c r="E126" s="6"/>
      <c r="F126" s="8"/>
      <c r="G126" s="8"/>
      <c r="H126" s="8"/>
      <c r="I126" s="8">
        <f t="shared" si="3"/>
        <v>0</v>
      </c>
      <c r="J126" s="8">
        <f t="shared" si="0"/>
        <v>0</v>
      </c>
      <c r="K126" s="11">
        <f t="shared" si="1"/>
        <v>0</v>
      </c>
      <c r="L126" s="12"/>
    </row>
    <row r="127" spans="1:13" x14ac:dyDescent="0.3">
      <c r="A127" s="5"/>
      <c r="B127" s="6"/>
      <c r="C127" s="6"/>
      <c r="D127" s="6"/>
      <c r="E127" s="6"/>
      <c r="F127" s="8"/>
      <c r="G127" s="8"/>
      <c r="H127" s="8"/>
      <c r="I127" s="8">
        <f t="shared" si="3"/>
        <v>0</v>
      </c>
      <c r="J127" s="8">
        <f t="shared" si="0"/>
        <v>0</v>
      </c>
      <c r="K127" s="11">
        <f t="shared" si="1"/>
        <v>0</v>
      </c>
      <c r="L127" s="12"/>
    </row>
    <row r="128" spans="1:13" x14ac:dyDescent="0.3">
      <c r="A128" s="5"/>
      <c r="B128" s="6"/>
      <c r="C128" s="6"/>
      <c r="D128" s="6"/>
      <c r="E128" s="6"/>
      <c r="F128" s="8"/>
      <c r="G128" s="8"/>
      <c r="H128" s="8"/>
      <c r="I128" s="8">
        <f t="shared" si="3"/>
        <v>0</v>
      </c>
      <c r="J128" s="8">
        <f t="shared" si="0"/>
        <v>0</v>
      </c>
      <c r="K128" s="11">
        <f t="shared" si="1"/>
        <v>0</v>
      </c>
      <c r="L128" s="12"/>
    </row>
    <row r="129" spans="1:13" x14ac:dyDescent="0.3">
      <c r="A129" s="5"/>
      <c r="B129" s="6"/>
      <c r="C129" s="6"/>
      <c r="D129" s="6"/>
      <c r="E129" s="6"/>
      <c r="F129" s="8"/>
      <c r="G129" s="8"/>
      <c r="H129" s="8"/>
      <c r="I129" s="8">
        <f t="shared" si="3"/>
        <v>0</v>
      </c>
      <c r="J129" s="8">
        <f t="shared" si="0"/>
        <v>0</v>
      </c>
      <c r="K129" s="11">
        <f t="shared" si="1"/>
        <v>0</v>
      </c>
      <c r="L129" s="12"/>
      <c r="M129" s="20"/>
    </row>
    <row r="130" spans="1:13" x14ac:dyDescent="0.3">
      <c r="A130" s="5"/>
      <c r="B130" s="6"/>
      <c r="C130" s="6"/>
      <c r="D130" s="6"/>
      <c r="E130" s="6"/>
      <c r="F130" s="8"/>
      <c r="G130" s="8"/>
      <c r="H130" s="8"/>
      <c r="I130" s="8">
        <f t="shared" si="3"/>
        <v>0</v>
      </c>
      <c r="J130" s="8">
        <f t="shared" si="0"/>
        <v>0</v>
      </c>
      <c r="K130" s="11">
        <f t="shared" si="1"/>
        <v>0</v>
      </c>
      <c r="L130" s="12"/>
    </row>
    <row r="131" spans="1:13" x14ac:dyDescent="0.3">
      <c r="A131" s="5"/>
      <c r="B131" s="6"/>
      <c r="C131" s="6"/>
      <c r="D131" s="7"/>
      <c r="E131" s="6"/>
      <c r="F131" s="8"/>
      <c r="G131" s="8"/>
      <c r="H131" s="8"/>
      <c r="I131" s="8">
        <f t="shared" si="3"/>
        <v>0</v>
      </c>
      <c r="J131" s="8">
        <f t="shared" si="0"/>
        <v>0</v>
      </c>
      <c r="K131" s="11">
        <f t="shared" si="1"/>
        <v>0</v>
      </c>
      <c r="L131" s="12"/>
    </row>
    <row r="132" spans="1:13" x14ac:dyDescent="0.3">
      <c r="A132" s="5"/>
      <c r="B132" s="6"/>
      <c r="C132" s="6"/>
      <c r="D132" s="6"/>
      <c r="E132" s="6"/>
      <c r="F132" s="8"/>
      <c r="G132" s="8"/>
      <c r="H132" s="8"/>
      <c r="I132" s="8">
        <f t="shared" si="3"/>
        <v>0</v>
      </c>
      <c r="J132" s="8">
        <f t="shared" si="0"/>
        <v>0</v>
      </c>
      <c r="K132" s="11">
        <f t="shared" si="1"/>
        <v>0</v>
      </c>
      <c r="L132" s="12"/>
      <c r="M132" s="20"/>
    </row>
    <row r="133" spans="1:13" x14ac:dyDescent="0.3">
      <c r="A133" s="5"/>
      <c r="B133" s="6"/>
      <c r="C133" s="6"/>
      <c r="D133" s="6"/>
      <c r="E133" s="6"/>
      <c r="F133" s="8"/>
      <c r="G133" s="8"/>
      <c r="H133" s="8"/>
      <c r="I133" s="8">
        <f t="shared" si="3"/>
        <v>0</v>
      </c>
      <c r="J133" s="8">
        <f t="shared" si="0"/>
        <v>0</v>
      </c>
      <c r="K133" s="11">
        <f t="shared" si="1"/>
        <v>0</v>
      </c>
      <c r="L133" s="12"/>
      <c r="M133" s="20"/>
    </row>
    <row r="134" spans="1:13" x14ac:dyDescent="0.3">
      <c r="A134" s="5"/>
      <c r="B134" s="6"/>
      <c r="C134" s="6"/>
      <c r="D134" s="6"/>
      <c r="E134" s="6"/>
      <c r="F134" s="8"/>
      <c r="G134" s="8"/>
      <c r="H134" s="8"/>
      <c r="I134" s="8">
        <f t="shared" si="3"/>
        <v>0</v>
      </c>
      <c r="J134" s="8">
        <f t="shared" si="0"/>
        <v>0</v>
      </c>
      <c r="K134" s="11">
        <f t="shared" si="1"/>
        <v>0</v>
      </c>
      <c r="L134" s="12"/>
      <c r="M134" s="20"/>
    </row>
    <row r="135" spans="1:13" x14ac:dyDescent="0.3">
      <c r="A135" s="5"/>
      <c r="B135" s="6"/>
      <c r="C135" s="6"/>
      <c r="D135" s="6"/>
      <c r="E135" s="6"/>
      <c r="F135" s="8"/>
      <c r="G135" s="8"/>
      <c r="H135" s="8"/>
      <c r="I135" s="8">
        <f t="shared" si="3"/>
        <v>0</v>
      </c>
      <c r="J135" s="8">
        <f t="shared" si="0"/>
        <v>0</v>
      </c>
      <c r="K135" s="11">
        <f t="shared" si="1"/>
        <v>0</v>
      </c>
      <c r="L135" s="12"/>
    </row>
    <row r="136" spans="1:13" x14ac:dyDescent="0.3">
      <c r="A136" s="5"/>
      <c r="B136" s="6"/>
      <c r="C136" s="6"/>
      <c r="D136" s="6"/>
      <c r="E136" s="6"/>
      <c r="F136" s="8"/>
      <c r="G136" s="8"/>
      <c r="H136" s="8"/>
      <c r="I136" s="8">
        <f t="shared" si="3"/>
        <v>0</v>
      </c>
      <c r="J136" s="8">
        <f t="shared" si="0"/>
        <v>0</v>
      </c>
      <c r="K136" s="11">
        <f t="shared" si="1"/>
        <v>0</v>
      </c>
      <c r="L136" s="12"/>
    </row>
    <row r="137" spans="1:13" x14ac:dyDescent="0.3">
      <c r="A137" s="5"/>
      <c r="B137" s="6"/>
      <c r="C137" s="6"/>
      <c r="D137" s="6"/>
      <c r="E137" s="6"/>
      <c r="F137" s="8"/>
      <c r="G137" s="8"/>
      <c r="H137" s="8"/>
      <c r="I137" s="8">
        <f t="shared" si="3"/>
        <v>0</v>
      </c>
      <c r="J137" s="8">
        <f t="shared" si="0"/>
        <v>0</v>
      </c>
      <c r="K137" s="11">
        <f t="shared" si="1"/>
        <v>0</v>
      </c>
      <c r="L137" s="12"/>
    </row>
    <row r="138" spans="1:13" x14ac:dyDescent="0.3">
      <c r="A138" s="5"/>
      <c r="B138" s="6"/>
      <c r="C138" s="6"/>
      <c r="D138" s="7"/>
      <c r="E138" s="6"/>
      <c r="F138" s="8"/>
      <c r="G138" s="8"/>
      <c r="H138" s="8"/>
      <c r="I138" s="8">
        <f t="shared" si="3"/>
        <v>0</v>
      </c>
      <c r="J138" s="8">
        <f t="shared" si="0"/>
        <v>0</v>
      </c>
      <c r="K138" s="11">
        <f t="shared" si="1"/>
        <v>0</v>
      </c>
      <c r="L138" s="12"/>
    </row>
    <row r="139" spans="1:13" x14ac:dyDescent="0.3">
      <c r="A139" s="5"/>
      <c r="B139" s="6"/>
      <c r="C139" s="6"/>
      <c r="D139" s="7"/>
      <c r="E139" s="6"/>
      <c r="F139" s="8"/>
      <c r="G139" s="8"/>
      <c r="H139" s="8"/>
      <c r="I139" s="8">
        <f t="shared" si="3"/>
        <v>0</v>
      </c>
      <c r="J139" s="8">
        <f t="shared" si="0"/>
        <v>0</v>
      </c>
      <c r="K139" s="11">
        <f t="shared" si="1"/>
        <v>0</v>
      </c>
      <c r="L139" s="12"/>
      <c r="M139" s="20"/>
    </row>
    <row r="140" spans="1:13" x14ac:dyDescent="0.3">
      <c r="A140" s="5"/>
      <c r="B140" s="6"/>
      <c r="C140" s="6"/>
      <c r="D140" s="6"/>
      <c r="E140" s="6"/>
      <c r="F140" s="8"/>
      <c r="G140" s="8"/>
      <c r="H140" s="8"/>
      <c r="I140" s="8">
        <f t="shared" si="3"/>
        <v>0</v>
      </c>
      <c r="J140" s="8">
        <f t="shared" si="0"/>
        <v>0</v>
      </c>
      <c r="K140" s="11">
        <f t="shared" si="1"/>
        <v>0</v>
      </c>
      <c r="L140" s="12"/>
    </row>
    <row r="141" spans="1:13" x14ac:dyDescent="0.3">
      <c r="A141" s="5"/>
      <c r="B141" s="6"/>
      <c r="C141" s="6"/>
      <c r="D141" s="6"/>
      <c r="E141" s="6"/>
      <c r="F141" s="8"/>
      <c r="G141" s="8"/>
      <c r="H141" s="8"/>
      <c r="I141" s="8">
        <f t="shared" si="3"/>
        <v>0</v>
      </c>
      <c r="J141" s="8">
        <f t="shared" si="0"/>
        <v>0</v>
      </c>
      <c r="K141" s="11">
        <f t="shared" si="1"/>
        <v>0</v>
      </c>
      <c r="L141" s="12"/>
    </row>
    <row r="142" spans="1:13" x14ac:dyDescent="0.3">
      <c r="A142" s="5"/>
      <c r="B142" s="6"/>
      <c r="C142" s="6"/>
      <c r="D142" s="6"/>
      <c r="E142" s="6"/>
      <c r="F142" s="8"/>
      <c r="G142" s="8"/>
      <c r="H142" s="8"/>
      <c r="I142" s="8">
        <f t="shared" si="3"/>
        <v>0</v>
      </c>
      <c r="J142" s="8">
        <f t="shared" si="0"/>
        <v>0</v>
      </c>
      <c r="K142" s="11">
        <f t="shared" si="1"/>
        <v>0</v>
      </c>
      <c r="L142" s="12"/>
    </row>
    <row r="143" spans="1:13" x14ac:dyDescent="0.3">
      <c r="A143" s="5"/>
      <c r="B143" s="6"/>
      <c r="C143" s="6"/>
      <c r="D143" s="6"/>
      <c r="E143" s="6"/>
      <c r="F143" s="8"/>
      <c r="G143" s="8"/>
      <c r="H143" s="8"/>
      <c r="I143" s="8">
        <f t="shared" si="3"/>
        <v>0</v>
      </c>
      <c r="J143" s="8">
        <f t="shared" si="0"/>
        <v>0</v>
      </c>
      <c r="K143" s="11">
        <f t="shared" si="1"/>
        <v>0</v>
      </c>
      <c r="L143" s="12"/>
    </row>
    <row r="144" spans="1:13" x14ac:dyDescent="0.3">
      <c r="A144" s="5"/>
      <c r="B144" s="6"/>
      <c r="C144" s="6"/>
      <c r="D144" s="6"/>
      <c r="E144" s="6"/>
      <c r="F144" s="8"/>
      <c r="G144" s="8"/>
      <c r="H144" s="8"/>
      <c r="I144" s="8">
        <f t="shared" si="3"/>
        <v>0</v>
      </c>
      <c r="J144" s="8">
        <f t="shared" si="0"/>
        <v>0</v>
      </c>
      <c r="K144" s="11">
        <f t="shared" si="1"/>
        <v>0</v>
      </c>
      <c r="L144" s="12"/>
    </row>
    <row r="145" spans="1:13" x14ac:dyDescent="0.3">
      <c r="A145" s="5"/>
      <c r="B145" s="6"/>
      <c r="C145" s="6"/>
      <c r="D145" s="6"/>
      <c r="E145" s="6"/>
      <c r="F145" s="8"/>
      <c r="G145" s="8"/>
      <c r="H145" s="8"/>
      <c r="I145" s="8">
        <f t="shared" si="3"/>
        <v>0</v>
      </c>
      <c r="J145" s="8">
        <f t="shared" si="0"/>
        <v>0</v>
      </c>
      <c r="K145" s="11">
        <f t="shared" si="1"/>
        <v>0</v>
      </c>
      <c r="L145" s="12"/>
    </row>
    <row r="146" spans="1:13" x14ac:dyDescent="0.3">
      <c r="A146" s="5"/>
      <c r="B146" s="6"/>
      <c r="C146" s="6"/>
      <c r="D146" s="6"/>
      <c r="E146" s="6"/>
      <c r="F146" s="8"/>
      <c r="G146" s="8"/>
      <c r="H146" s="8"/>
      <c r="I146" s="8">
        <f t="shared" si="3"/>
        <v>0</v>
      </c>
      <c r="J146" s="8">
        <f t="shared" si="0"/>
        <v>0</v>
      </c>
      <c r="K146" s="11">
        <f t="shared" si="1"/>
        <v>0</v>
      </c>
      <c r="L146" s="12"/>
    </row>
    <row r="147" spans="1:13" x14ac:dyDescent="0.3">
      <c r="A147" s="5"/>
      <c r="B147" s="6"/>
      <c r="C147" s="6"/>
      <c r="D147" s="6"/>
      <c r="E147" s="6"/>
      <c r="F147" s="8"/>
      <c r="G147" s="8"/>
      <c r="H147" s="8"/>
      <c r="I147" s="8">
        <f t="shared" si="3"/>
        <v>0</v>
      </c>
      <c r="J147" s="8">
        <f t="shared" si="0"/>
        <v>0</v>
      </c>
      <c r="K147" s="11">
        <f t="shared" si="1"/>
        <v>0</v>
      </c>
      <c r="L147" s="12"/>
      <c r="M147" s="20"/>
    </row>
    <row r="148" spans="1:13" x14ac:dyDescent="0.3">
      <c r="A148" s="5"/>
      <c r="B148" s="6"/>
      <c r="C148" s="6"/>
      <c r="D148" s="6"/>
      <c r="E148" s="6"/>
      <c r="F148" s="8"/>
      <c r="G148" s="8"/>
      <c r="H148" s="8"/>
      <c r="I148" s="8">
        <f t="shared" si="3"/>
        <v>0</v>
      </c>
      <c r="J148" s="8">
        <f t="shared" si="0"/>
        <v>0</v>
      </c>
      <c r="K148" s="11">
        <f t="shared" si="1"/>
        <v>0</v>
      </c>
      <c r="L148" s="12"/>
    </row>
    <row r="149" spans="1:13" x14ac:dyDescent="0.3">
      <c r="A149" s="5"/>
      <c r="B149" s="6"/>
      <c r="C149" s="6"/>
      <c r="D149" s="6"/>
      <c r="E149" s="6"/>
      <c r="F149" s="8"/>
      <c r="G149" s="8"/>
      <c r="H149" s="8"/>
      <c r="I149" s="8">
        <f t="shared" si="3"/>
        <v>0</v>
      </c>
      <c r="J149" s="8">
        <f t="shared" si="0"/>
        <v>0</v>
      </c>
      <c r="K149" s="11">
        <f t="shared" si="1"/>
        <v>0</v>
      </c>
      <c r="L149" s="12"/>
    </row>
    <row r="150" spans="1:13" x14ac:dyDescent="0.3">
      <c r="A150" s="5"/>
      <c r="B150" s="6"/>
      <c r="C150" s="6"/>
      <c r="D150" s="6"/>
      <c r="E150" s="6"/>
      <c r="F150" s="8"/>
      <c r="G150" s="8"/>
      <c r="H150" s="8"/>
      <c r="I150" s="8">
        <f t="shared" si="3"/>
        <v>0</v>
      </c>
      <c r="J150" s="8">
        <f t="shared" si="0"/>
        <v>0</v>
      </c>
      <c r="K150" s="11">
        <f t="shared" si="1"/>
        <v>0</v>
      </c>
      <c r="L150" s="12"/>
    </row>
    <row r="151" spans="1:13" x14ac:dyDescent="0.3">
      <c r="A151" s="5"/>
      <c r="B151" s="6"/>
      <c r="C151" s="6"/>
      <c r="D151" s="6"/>
      <c r="E151" s="6"/>
      <c r="F151" s="8"/>
      <c r="G151" s="8"/>
      <c r="H151" s="8"/>
      <c r="I151" s="8">
        <f t="shared" si="3"/>
        <v>0</v>
      </c>
      <c r="J151" s="8">
        <f t="shared" si="0"/>
        <v>0</v>
      </c>
      <c r="K151" s="11">
        <f t="shared" si="1"/>
        <v>0</v>
      </c>
      <c r="L151" s="12"/>
    </row>
    <row r="152" spans="1:13" x14ac:dyDescent="0.3">
      <c r="A152" s="5"/>
      <c r="B152" s="6"/>
      <c r="C152" s="6"/>
      <c r="D152" s="6"/>
      <c r="E152" s="6"/>
      <c r="F152" s="8"/>
      <c r="G152" s="8"/>
      <c r="H152" s="8"/>
      <c r="I152" s="8">
        <f t="shared" si="3"/>
        <v>0</v>
      </c>
      <c r="J152" s="8">
        <f t="shared" si="0"/>
        <v>0</v>
      </c>
      <c r="K152" s="11">
        <f t="shared" si="1"/>
        <v>0</v>
      </c>
      <c r="L152" s="12"/>
    </row>
    <row r="153" spans="1:13" x14ac:dyDescent="0.3">
      <c r="A153" s="5"/>
      <c r="B153" s="6"/>
      <c r="C153" s="6"/>
      <c r="D153" s="6"/>
      <c r="E153" s="6"/>
      <c r="F153" s="8"/>
      <c r="G153" s="8"/>
      <c r="H153" s="8"/>
      <c r="I153" s="8">
        <f t="shared" si="3"/>
        <v>0</v>
      </c>
      <c r="J153" s="8">
        <f t="shared" si="0"/>
        <v>0</v>
      </c>
      <c r="K153" s="11">
        <f t="shared" si="1"/>
        <v>0</v>
      </c>
      <c r="L153" s="12"/>
    </row>
    <row r="154" spans="1:13" x14ac:dyDescent="0.3">
      <c r="A154" s="5"/>
      <c r="B154" s="6"/>
      <c r="C154" s="6"/>
      <c r="D154" s="6"/>
      <c r="E154" s="6"/>
      <c r="F154" s="8"/>
      <c r="G154" s="8"/>
      <c r="H154" s="8"/>
      <c r="I154" s="8">
        <f t="shared" si="3"/>
        <v>0</v>
      </c>
      <c r="J154" s="8">
        <f t="shared" si="0"/>
        <v>0</v>
      </c>
      <c r="K154" s="11">
        <f t="shared" si="1"/>
        <v>0</v>
      </c>
      <c r="L154" s="12"/>
    </row>
    <row r="155" spans="1:13" x14ac:dyDescent="0.3">
      <c r="A155" s="5"/>
      <c r="B155" s="6"/>
      <c r="C155" s="6"/>
      <c r="D155" s="6"/>
      <c r="E155" s="6"/>
      <c r="F155" s="8"/>
      <c r="G155" s="8"/>
      <c r="H155" s="8"/>
      <c r="I155" s="8">
        <f t="shared" si="3"/>
        <v>0</v>
      </c>
      <c r="J155" s="8">
        <f t="shared" si="0"/>
        <v>0</v>
      </c>
      <c r="K155" s="11">
        <f t="shared" si="1"/>
        <v>0</v>
      </c>
      <c r="L155" s="12"/>
    </row>
    <row r="156" spans="1:13" x14ac:dyDescent="0.3">
      <c r="A156" s="5"/>
      <c r="B156" s="6"/>
      <c r="C156" s="6"/>
      <c r="D156" s="7"/>
      <c r="E156" s="6"/>
      <c r="F156" s="8"/>
      <c r="G156" s="8"/>
      <c r="H156" s="8"/>
      <c r="I156" s="8">
        <f t="shared" si="3"/>
        <v>0</v>
      </c>
      <c r="J156" s="8">
        <f t="shared" si="0"/>
        <v>0</v>
      </c>
      <c r="K156" s="11">
        <f t="shared" si="1"/>
        <v>0</v>
      </c>
      <c r="L156" s="12"/>
    </row>
    <row r="157" spans="1:13" x14ac:dyDescent="0.3">
      <c r="A157" s="5"/>
      <c r="B157" s="6"/>
      <c r="C157" s="6"/>
      <c r="D157" s="6"/>
      <c r="E157" s="6"/>
      <c r="F157" s="8"/>
      <c r="G157" s="8"/>
      <c r="H157" s="8"/>
      <c r="I157" s="8">
        <f t="shared" si="3"/>
        <v>0</v>
      </c>
      <c r="J157" s="8">
        <f t="shared" si="0"/>
        <v>0</v>
      </c>
      <c r="K157" s="11">
        <f t="shared" si="1"/>
        <v>0</v>
      </c>
      <c r="L157" s="12"/>
    </row>
    <row r="158" spans="1:13" x14ac:dyDescent="0.3">
      <c r="A158" s="5"/>
      <c r="B158" s="6"/>
      <c r="C158" s="6"/>
      <c r="D158" s="6"/>
      <c r="E158" s="6"/>
      <c r="F158" s="8"/>
      <c r="G158" s="8"/>
      <c r="H158" s="8"/>
      <c r="I158" s="8">
        <f t="shared" si="3"/>
        <v>0</v>
      </c>
      <c r="J158" s="8">
        <f t="shared" si="0"/>
        <v>0</v>
      </c>
      <c r="K158" s="11">
        <f t="shared" si="1"/>
        <v>0</v>
      </c>
      <c r="L158" s="12"/>
    </row>
    <row r="159" spans="1:13" x14ac:dyDescent="0.3">
      <c r="A159" s="5"/>
      <c r="B159" s="6"/>
      <c r="C159" s="6"/>
      <c r="D159" s="6"/>
      <c r="E159" s="6"/>
      <c r="F159" s="8"/>
      <c r="G159" s="8"/>
      <c r="H159" s="8"/>
      <c r="I159" s="8">
        <f t="shared" si="3"/>
        <v>0</v>
      </c>
      <c r="J159" s="8">
        <f t="shared" si="0"/>
        <v>0</v>
      </c>
      <c r="K159" s="11">
        <f t="shared" si="1"/>
        <v>0</v>
      </c>
      <c r="L159" s="12"/>
    </row>
    <row r="160" spans="1:13" x14ac:dyDescent="0.3">
      <c r="A160" s="5"/>
      <c r="B160" s="6"/>
      <c r="C160" s="6"/>
      <c r="D160" s="7"/>
      <c r="E160" s="6"/>
      <c r="F160" s="8"/>
      <c r="G160" s="8"/>
      <c r="H160" s="8"/>
      <c r="I160" s="8">
        <f t="shared" si="3"/>
        <v>0</v>
      </c>
      <c r="J160" s="8">
        <f t="shared" si="0"/>
        <v>0</v>
      </c>
      <c r="K160" s="11">
        <f t="shared" si="1"/>
        <v>0</v>
      </c>
      <c r="L160" s="12"/>
    </row>
    <row r="161" spans="1:13" x14ac:dyDescent="0.3">
      <c r="A161" s="5"/>
      <c r="B161" s="6"/>
      <c r="C161" s="6"/>
      <c r="D161" s="6"/>
      <c r="E161" s="6"/>
      <c r="F161" s="8"/>
      <c r="G161" s="8"/>
      <c r="H161" s="8"/>
      <c r="I161" s="8">
        <f t="shared" si="3"/>
        <v>0</v>
      </c>
      <c r="J161" s="8">
        <f t="shared" si="0"/>
        <v>0</v>
      </c>
      <c r="K161" s="11">
        <f t="shared" si="1"/>
        <v>0</v>
      </c>
      <c r="L161" s="12"/>
    </row>
    <row r="162" spans="1:13" x14ac:dyDescent="0.3">
      <c r="A162" s="5"/>
      <c r="B162" s="6"/>
      <c r="C162" s="6"/>
      <c r="D162" s="6"/>
      <c r="E162" s="6"/>
      <c r="F162" s="8"/>
      <c r="G162" s="8"/>
      <c r="H162" s="8"/>
      <c r="I162" s="8">
        <f t="shared" si="3"/>
        <v>0</v>
      </c>
      <c r="J162" s="8">
        <f t="shared" si="0"/>
        <v>0</v>
      </c>
      <c r="K162" s="11">
        <f t="shared" si="1"/>
        <v>0</v>
      </c>
      <c r="L162" s="12"/>
      <c r="M162" s="20"/>
    </row>
    <row r="163" spans="1:13" x14ac:dyDescent="0.3">
      <c r="A163" s="5"/>
      <c r="B163" s="6"/>
      <c r="C163" s="6"/>
      <c r="D163" s="6"/>
      <c r="E163" s="6"/>
      <c r="F163" s="8"/>
      <c r="G163" s="8"/>
      <c r="H163" s="8"/>
      <c r="I163" s="8">
        <f t="shared" si="3"/>
        <v>0</v>
      </c>
      <c r="J163" s="8">
        <f t="shared" si="0"/>
        <v>0</v>
      </c>
      <c r="K163" s="11">
        <f t="shared" si="1"/>
        <v>0</v>
      </c>
      <c r="L163" s="12"/>
      <c r="M163" s="20"/>
    </row>
    <row r="164" spans="1:13" x14ac:dyDescent="0.3">
      <c r="A164" s="5"/>
      <c r="B164" s="6"/>
      <c r="C164" s="6"/>
      <c r="D164" s="6"/>
      <c r="E164" s="6"/>
      <c r="F164" s="8"/>
      <c r="G164" s="8"/>
      <c r="H164" s="8"/>
      <c r="I164" s="8">
        <f t="shared" si="3"/>
        <v>0</v>
      </c>
      <c r="J164" s="8">
        <f t="shared" si="0"/>
        <v>0</v>
      </c>
      <c r="K164" s="11">
        <f t="shared" si="1"/>
        <v>0</v>
      </c>
      <c r="L164" s="12"/>
    </row>
    <row r="165" spans="1:13" x14ac:dyDescent="0.3">
      <c r="A165" s="5"/>
      <c r="B165" s="6"/>
      <c r="C165" s="6"/>
      <c r="D165" s="6"/>
      <c r="E165" s="6"/>
      <c r="F165" s="8"/>
      <c r="G165" s="8"/>
      <c r="H165" s="8"/>
      <c r="I165" s="8">
        <f t="shared" si="3"/>
        <v>0</v>
      </c>
      <c r="J165" s="8">
        <f t="shared" si="0"/>
        <v>0</v>
      </c>
      <c r="K165" s="11">
        <f t="shared" si="1"/>
        <v>0</v>
      </c>
      <c r="L165" s="12"/>
    </row>
    <row r="166" spans="1:13" x14ac:dyDescent="0.3">
      <c r="A166" s="5"/>
      <c r="B166" s="6"/>
      <c r="C166" s="6"/>
      <c r="D166" s="6"/>
      <c r="E166" s="6"/>
      <c r="F166" s="8"/>
      <c r="G166" s="8"/>
      <c r="H166" s="8"/>
      <c r="I166" s="8">
        <f t="shared" si="3"/>
        <v>0</v>
      </c>
      <c r="J166" s="8">
        <f t="shared" si="0"/>
        <v>0</v>
      </c>
      <c r="K166" s="11">
        <f t="shared" si="1"/>
        <v>0</v>
      </c>
      <c r="L166" s="12"/>
    </row>
    <row r="167" spans="1:13" x14ac:dyDescent="0.3">
      <c r="A167" s="5"/>
      <c r="B167" s="6"/>
      <c r="C167" s="6"/>
      <c r="D167" s="6"/>
      <c r="E167" s="6"/>
      <c r="F167" s="8"/>
      <c r="G167" s="8"/>
      <c r="H167" s="8"/>
      <c r="I167" s="8">
        <f t="shared" si="3"/>
        <v>0</v>
      </c>
      <c r="J167" s="8">
        <f t="shared" si="0"/>
        <v>0</v>
      </c>
      <c r="K167" s="11">
        <f t="shared" si="1"/>
        <v>0</v>
      </c>
      <c r="L167" s="12"/>
    </row>
    <row r="168" spans="1:13" x14ac:dyDescent="0.3">
      <c r="A168" s="5"/>
      <c r="B168" s="6"/>
      <c r="C168" s="6"/>
      <c r="D168" s="6"/>
      <c r="E168" s="6"/>
      <c r="F168" s="8"/>
      <c r="G168" s="8"/>
      <c r="H168" s="8"/>
      <c r="I168" s="8">
        <f t="shared" si="3"/>
        <v>0</v>
      </c>
      <c r="J168" s="8">
        <f t="shared" si="0"/>
        <v>0</v>
      </c>
      <c r="K168" s="11">
        <f t="shared" si="1"/>
        <v>0</v>
      </c>
      <c r="L168" s="12"/>
    </row>
    <row r="169" spans="1:13" x14ac:dyDescent="0.3">
      <c r="A169" s="5"/>
      <c r="B169" s="6"/>
      <c r="C169" s="6"/>
      <c r="D169" s="6"/>
      <c r="E169" s="6"/>
      <c r="F169" s="8"/>
      <c r="G169" s="8"/>
      <c r="H169" s="8"/>
      <c r="I169" s="8">
        <f t="shared" si="3"/>
        <v>0</v>
      </c>
      <c r="J169" s="8">
        <f t="shared" si="0"/>
        <v>0</v>
      </c>
      <c r="K169" s="11">
        <f t="shared" si="1"/>
        <v>0</v>
      </c>
      <c r="L169" s="12"/>
    </row>
    <row r="170" spans="1:13" x14ac:dyDescent="0.3">
      <c r="A170" s="5"/>
      <c r="B170" s="6"/>
      <c r="C170" s="6"/>
      <c r="D170" s="6"/>
      <c r="E170" s="6"/>
      <c r="F170" s="8"/>
      <c r="G170" s="8"/>
      <c r="H170" s="8"/>
      <c r="I170" s="8">
        <f t="shared" si="3"/>
        <v>0</v>
      </c>
      <c r="J170" s="8">
        <f t="shared" si="0"/>
        <v>0</v>
      </c>
      <c r="K170" s="11">
        <f t="shared" si="1"/>
        <v>0</v>
      </c>
      <c r="L170" s="12"/>
    </row>
    <row r="171" spans="1:13" x14ac:dyDescent="0.3">
      <c r="A171" s="5"/>
      <c r="B171" s="6"/>
      <c r="C171" s="6"/>
      <c r="D171" s="6"/>
      <c r="E171" s="6"/>
      <c r="F171" s="8"/>
      <c r="G171" s="8"/>
      <c r="H171" s="8"/>
      <c r="I171" s="8">
        <f t="shared" si="3"/>
        <v>0</v>
      </c>
      <c r="J171" s="8">
        <f t="shared" si="0"/>
        <v>0</v>
      </c>
      <c r="K171" s="11">
        <f t="shared" si="1"/>
        <v>0</v>
      </c>
      <c r="L171" s="12"/>
      <c r="M171" s="20"/>
    </row>
    <row r="172" spans="1:13" x14ac:dyDescent="0.3">
      <c r="A172" s="5"/>
      <c r="B172" s="6"/>
      <c r="C172" s="6"/>
      <c r="D172" s="6"/>
      <c r="E172" s="6"/>
      <c r="F172" s="8"/>
      <c r="G172" s="8"/>
      <c r="H172" s="8"/>
      <c r="I172" s="8">
        <f t="shared" si="3"/>
        <v>0</v>
      </c>
      <c r="J172" s="8">
        <f t="shared" si="0"/>
        <v>0</v>
      </c>
      <c r="K172" s="11">
        <f t="shared" si="1"/>
        <v>0</v>
      </c>
      <c r="L172" s="12"/>
    </row>
    <row r="173" spans="1:13" x14ac:dyDescent="0.3">
      <c r="A173" s="5"/>
      <c r="B173" s="6"/>
      <c r="C173" s="6"/>
      <c r="D173" s="6"/>
      <c r="E173" s="6"/>
      <c r="F173" s="8"/>
      <c r="G173" s="8"/>
      <c r="H173" s="8"/>
      <c r="I173" s="8">
        <f t="shared" si="3"/>
        <v>0</v>
      </c>
      <c r="J173" s="8">
        <f t="shared" si="0"/>
        <v>0</v>
      </c>
      <c r="K173" s="11">
        <f t="shared" si="1"/>
        <v>0</v>
      </c>
      <c r="L173" s="12"/>
    </row>
    <row r="174" spans="1:13" x14ac:dyDescent="0.3">
      <c r="A174" s="5"/>
      <c r="B174" s="6"/>
      <c r="C174" s="6"/>
      <c r="D174" s="6"/>
      <c r="E174" s="6"/>
      <c r="F174" s="8"/>
      <c r="G174" s="8"/>
      <c r="H174" s="8"/>
      <c r="I174" s="8">
        <f t="shared" si="3"/>
        <v>0</v>
      </c>
      <c r="J174" s="8">
        <f t="shared" si="0"/>
        <v>0</v>
      </c>
      <c r="K174" s="11">
        <f t="shared" si="1"/>
        <v>0</v>
      </c>
      <c r="L174" s="12"/>
    </row>
    <row r="175" spans="1:13" x14ac:dyDescent="0.3">
      <c r="A175" s="5"/>
      <c r="B175" s="6"/>
      <c r="C175" s="6"/>
      <c r="D175" s="6"/>
      <c r="E175" s="6"/>
      <c r="F175" s="8"/>
      <c r="G175" s="8"/>
      <c r="H175" s="8"/>
      <c r="I175" s="8">
        <f t="shared" si="3"/>
        <v>0</v>
      </c>
      <c r="J175" s="8">
        <f t="shared" si="0"/>
        <v>0</v>
      </c>
      <c r="K175" s="11">
        <f t="shared" si="1"/>
        <v>0</v>
      </c>
      <c r="L175" s="12"/>
    </row>
    <row r="176" spans="1:13" x14ac:dyDescent="0.3">
      <c r="A176" s="5"/>
      <c r="B176" s="6"/>
      <c r="C176" s="6"/>
      <c r="D176" s="6"/>
      <c r="E176" s="6"/>
      <c r="F176" s="8"/>
      <c r="G176" s="8"/>
      <c r="H176" s="8"/>
      <c r="I176" s="8">
        <f t="shared" si="3"/>
        <v>0</v>
      </c>
      <c r="J176" s="8">
        <f t="shared" si="0"/>
        <v>0</v>
      </c>
      <c r="K176" s="11">
        <f t="shared" si="1"/>
        <v>0</v>
      </c>
      <c r="L176" s="12"/>
    </row>
    <row r="177" spans="1:12" x14ac:dyDescent="0.3">
      <c r="A177" s="5"/>
      <c r="B177" s="6"/>
      <c r="C177" s="6"/>
      <c r="D177" s="6"/>
      <c r="E177" s="6"/>
      <c r="F177" s="8"/>
      <c r="G177" s="8"/>
      <c r="H177" s="8"/>
      <c r="I177" s="8">
        <f t="shared" si="3"/>
        <v>0</v>
      </c>
      <c r="J177" s="8">
        <f t="shared" si="0"/>
        <v>0</v>
      </c>
      <c r="K177" s="11">
        <f t="shared" si="1"/>
        <v>0</v>
      </c>
      <c r="L177" s="12"/>
    </row>
    <row r="178" spans="1:12" x14ac:dyDescent="0.3">
      <c r="A178" s="5"/>
      <c r="B178" s="6"/>
      <c r="C178" s="6"/>
      <c r="D178" s="6"/>
      <c r="E178" s="6"/>
      <c r="F178" s="8"/>
      <c r="G178" s="8"/>
      <c r="H178" s="8"/>
      <c r="I178" s="8">
        <f t="shared" si="3"/>
        <v>0</v>
      </c>
      <c r="J178" s="8">
        <f t="shared" si="0"/>
        <v>0</v>
      </c>
      <c r="K178" s="11">
        <f t="shared" si="1"/>
        <v>0</v>
      </c>
      <c r="L178" s="12"/>
    </row>
    <row r="179" spans="1:12" x14ac:dyDescent="0.3">
      <c r="A179" s="5"/>
      <c r="B179" s="6"/>
      <c r="C179" s="6"/>
      <c r="D179" s="6"/>
      <c r="E179" s="6"/>
      <c r="F179" s="8"/>
      <c r="G179" s="8"/>
      <c r="H179" s="8"/>
      <c r="I179" s="8">
        <f t="shared" si="3"/>
        <v>0</v>
      </c>
      <c r="J179" s="8">
        <f t="shared" si="0"/>
        <v>0</v>
      </c>
      <c r="K179" s="11">
        <f t="shared" si="1"/>
        <v>0</v>
      </c>
      <c r="L179" s="12"/>
    </row>
    <row r="180" spans="1:12" x14ac:dyDescent="0.3">
      <c r="A180" s="5"/>
      <c r="B180" s="6"/>
      <c r="C180" s="6"/>
      <c r="D180" s="6"/>
      <c r="E180" s="6"/>
      <c r="F180" s="8"/>
      <c r="G180" s="8"/>
      <c r="H180" s="8"/>
      <c r="I180" s="8">
        <f t="shared" si="3"/>
        <v>0</v>
      </c>
      <c r="J180" s="8">
        <f t="shared" si="0"/>
        <v>0</v>
      </c>
      <c r="K180" s="11">
        <f t="shared" si="1"/>
        <v>0</v>
      </c>
      <c r="L180" s="12"/>
    </row>
    <row r="181" spans="1:12" x14ac:dyDescent="0.3">
      <c r="A181" s="14"/>
      <c r="B181" s="6"/>
      <c r="C181" s="6"/>
      <c r="D181" s="6"/>
      <c r="E181" s="6"/>
      <c r="F181" s="15">
        <f>SUBTOTAL(9,F3:F180)</f>
        <v>3056</v>
      </c>
      <c r="G181" s="15"/>
      <c r="H181" s="15">
        <f>SUBTOTAL(9,H3:H180)</f>
        <v>3095.5299999999997</v>
      </c>
      <c r="I181" s="15">
        <f>SUBTOTAL(9,I3:I180)</f>
        <v>970858.51</v>
      </c>
      <c r="J181" s="15">
        <f>SUBTOTAL(9,J3:J180)</f>
        <v>145628.77650000001</v>
      </c>
      <c r="K181" s="15">
        <f>SUBTOTAL(9,K3:K180)</f>
        <v>1116487.2864999999</v>
      </c>
      <c r="L181" s="16"/>
    </row>
  </sheetData>
  <autoFilter ref="A2:M180" xr:uid="{6216A0A9-F965-4A2D-9557-79B005C217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DCA7-6E06-4BDB-B726-060CCD7BA20C}">
  <dimension ref="A1:M183"/>
  <sheetViews>
    <sheetView rightToLeft="1" workbookViewId="0">
      <pane ySplit="2" topLeftCell="A3" activePane="bottomLeft" state="frozen"/>
      <selection pane="bottomLeft" activeCell="M6" sqref="M6"/>
    </sheetView>
  </sheetViews>
  <sheetFormatPr defaultRowHeight="14.4" x14ac:dyDescent="0.3"/>
  <cols>
    <col min="1" max="1" width="12.33203125" customWidth="1"/>
    <col min="2" max="2" width="10.6640625" customWidth="1"/>
    <col min="3" max="3" width="7.44140625" customWidth="1"/>
    <col min="4" max="4" width="34.77734375" bestFit="1" customWidth="1"/>
    <col min="5" max="5" width="22.88671875" bestFit="1" customWidth="1"/>
    <col min="6" max="6" width="10.109375" bestFit="1" customWidth="1"/>
    <col min="8" max="8" width="15" bestFit="1" customWidth="1"/>
    <col min="9" max="9" width="12.77734375" bestFit="1" customWidth="1"/>
    <col min="10" max="10" width="11.6640625" bestFit="1" customWidth="1"/>
    <col min="11" max="11" width="12.6640625" bestFit="1" customWidth="1"/>
    <col min="12" max="12" width="19.109375" bestFit="1" customWidth="1"/>
    <col min="13" max="13" width="22.5546875" customWidth="1"/>
  </cols>
  <sheetData>
    <row r="1" spans="1:13" ht="15.6" x14ac:dyDescent="0.3">
      <c r="H1" s="1" t="s">
        <v>192</v>
      </c>
      <c r="I1" s="2"/>
      <c r="J1" s="2"/>
      <c r="K1" s="2"/>
      <c r="L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</row>
    <row r="3" spans="1:13" x14ac:dyDescent="0.3">
      <c r="A3" s="5">
        <v>46144</v>
      </c>
      <c r="B3" s="6">
        <v>288</v>
      </c>
      <c r="C3" s="6" t="s">
        <v>13</v>
      </c>
      <c r="D3" s="6" t="s">
        <v>167</v>
      </c>
      <c r="E3" s="7" t="s">
        <v>171</v>
      </c>
      <c r="F3" s="8">
        <v>15</v>
      </c>
      <c r="G3" s="8">
        <v>460</v>
      </c>
      <c r="H3" s="8">
        <v>15</v>
      </c>
      <c r="I3" s="8">
        <f>H3*G3</f>
        <v>6900</v>
      </c>
      <c r="J3" s="7">
        <f t="shared" ref="J3:J179" si="0">I3*15%</f>
        <v>1035</v>
      </c>
      <c r="K3" s="18">
        <f t="shared" ref="K3:K179" si="1">I3+J3</f>
        <v>7935</v>
      </c>
      <c r="L3" s="19"/>
      <c r="M3" s="20"/>
    </row>
    <row r="4" spans="1:13" x14ac:dyDescent="0.3">
      <c r="A4" s="5">
        <v>46144</v>
      </c>
      <c r="B4" s="6">
        <v>289</v>
      </c>
      <c r="C4" s="6" t="s">
        <v>13</v>
      </c>
      <c r="D4" s="6" t="s">
        <v>176</v>
      </c>
      <c r="E4" s="6" t="s">
        <v>18</v>
      </c>
      <c r="F4" s="8">
        <v>20</v>
      </c>
      <c r="G4" s="8">
        <v>460</v>
      </c>
      <c r="H4" s="8">
        <v>20</v>
      </c>
      <c r="I4" s="8">
        <f>H4*G4</f>
        <v>9200</v>
      </c>
      <c r="J4" s="7">
        <f t="shared" si="0"/>
        <v>1380</v>
      </c>
      <c r="K4" s="58">
        <f t="shared" si="1"/>
        <v>10580</v>
      </c>
      <c r="L4" s="59"/>
      <c r="M4" s="20"/>
    </row>
    <row r="5" spans="1:13" x14ac:dyDescent="0.3">
      <c r="A5" s="5">
        <v>46144</v>
      </c>
      <c r="B5" s="6">
        <v>290</v>
      </c>
      <c r="C5" s="6" t="s">
        <v>158</v>
      </c>
      <c r="D5" s="6" t="s">
        <v>177</v>
      </c>
      <c r="E5" s="7" t="s">
        <v>132</v>
      </c>
      <c r="F5" s="8">
        <v>5</v>
      </c>
      <c r="G5" s="8">
        <v>410</v>
      </c>
      <c r="H5" s="8">
        <v>5</v>
      </c>
      <c r="I5" s="8">
        <f t="shared" ref="I5:I6" si="2">H5*G5</f>
        <v>2050</v>
      </c>
      <c r="J5" s="7">
        <f t="shared" si="0"/>
        <v>307.5</v>
      </c>
      <c r="K5" s="58">
        <f t="shared" si="1"/>
        <v>2357.5</v>
      </c>
      <c r="L5" s="59"/>
      <c r="M5" s="20"/>
    </row>
    <row r="6" spans="1:13" x14ac:dyDescent="0.3">
      <c r="A6" s="5">
        <v>46144</v>
      </c>
      <c r="B6" s="6">
        <v>291</v>
      </c>
      <c r="C6" s="6" t="s">
        <v>13</v>
      </c>
      <c r="D6" s="6" t="s">
        <v>29</v>
      </c>
      <c r="E6" s="6" t="s">
        <v>132</v>
      </c>
      <c r="F6" s="8">
        <v>5</v>
      </c>
      <c r="G6" s="8">
        <v>415</v>
      </c>
      <c r="H6" s="8">
        <v>5</v>
      </c>
      <c r="I6" s="8">
        <f t="shared" si="2"/>
        <v>2075</v>
      </c>
      <c r="J6" s="7">
        <f t="shared" si="0"/>
        <v>311.25</v>
      </c>
      <c r="K6" s="58">
        <f t="shared" si="1"/>
        <v>2386.25</v>
      </c>
      <c r="L6" s="59"/>
      <c r="M6" s="20"/>
    </row>
    <row r="7" spans="1:13" x14ac:dyDescent="0.3">
      <c r="A7" s="5">
        <v>46145</v>
      </c>
      <c r="B7" s="6">
        <v>292</v>
      </c>
      <c r="C7" s="6" t="s">
        <v>13</v>
      </c>
      <c r="D7" s="6" t="s">
        <v>185</v>
      </c>
      <c r="E7" s="7" t="s">
        <v>189</v>
      </c>
      <c r="F7" s="8">
        <v>100</v>
      </c>
      <c r="G7" s="8">
        <v>435</v>
      </c>
      <c r="H7" s="8">
        <v>100</v>
      </c>
      <c r="I7" s="8">
        <f>H7*G7</f>
        <v>43500</v>
      </c>
      <c r="J7" s="7">
        <f t="shared" si="0"/>
        <v>6525</v>
      </c>
      <c r="K7" s="18">
        <f t="shared" si="1"/>
        <v>50025</v>
      </c>
      <c r="L7" s="59"/>
      <c r="M7" s="83"/>
    </row>
    <row r="8" spans="1:13" x14ac:dyDescent="0.3">
      <c r="A8" s="5">
        <v>46145</v>
      </c>
      <c r="B8" s="6">
        <v>293</v>
      </c>
      <c r="C8" s="6" t="s">
        <v>13</v>
      </c>
      <c r="D8" s="6" t="s">
        <v>151</v>
      </c>
      <c r="E8" s="6" t="s">
        <v>190</v>
      </c>
      <c r="F8" s="8">
        <v>100</v>
      </c>
      <c r="G8" s="8">
        <v>34.5</v>
      </c>
      <c r="H8" s="8">
        <v>1927.51</v>
      </c>
      <c r="I8" s="8">
        <f>H8*G8</f>
        <v>66499.095000000001</v>
      </c>
      <c r="J8" s="7">
        <f t="shared" si="0"/>
        <v>9974.8642500000005</v>
      </c>
      <c r="K8" s="58">
        <f t="shared" si="1"/>
        <v>76473.95925</v>
      </c>
      <c r="L8" s="59"/>
      <c r="M8" s="20"/>
    </row>
    <row r="9" spans="1:13" x14ac:dyDescent="0.3">
      <c r="A9" s="5">
        <v>46146</v>
      </c>
      <c r="B9" s="6">
        <v>294</v>
      </c>
      <c r="C9" s="6" t="s">
        <v>13</v>
      </c>
      <c r="D9" s="6" t="s">
        <v>49</v>
      </c>
      <c r="E9" s="6" t="s">
        <v>191</v>
      </c>
      <c r="F9" s="8"/>
      <c r="G9" s="8">
        <v>21</v>
      </c>
      <c r="H9" s="8">
        <v>25242</v>
      </c>
      <c r="I9" s="8">
        <f>H9*G9</f>
        <v>530082</v>
      </c>
      <c r="J9" s="7">
        <f t="shared" si="0"/>
        <v>79512.3</v>
      </c>
      <c r="K9" s="18">
        <f t="shared" si="1"/>
        <v>609594.30000000005</v>
      </c>
      <c r="L9" s="21"/>
      <c r="M9" s="20"/>
    </row>
    <row r="10" spans="1:13" x14ac:dyDescent="0.3">
      <c r="A10" s="5">
        <v>46146</v>
      </c>
      <c r="B10" s="7">
        <v>295</v>
      </c>
      <c r="C10" s="6" t="s">
        <v>13</v>
      </c>
      <c r="D10" s="6" t="s">
        <v>185</v>
      </c>
      <c r="E10" s="6" t="s">
        <v>188</v>
      </c>
      <c r="F10" s="7">
        <v>100</v>
      </c>
      <c r="G10" s="7">
        <v>450</v>
      </c>
      <c r="H10" s="7">
        <v>100</v>
      </c>
      <c r="I10" s="7">
        <f t="shared" ref="I10:I179" si="3">H10*G10</f>
        <v>45000</v>
      </c>
      <c r="J10" s="7">
        <f t="shared" si="0"/>
        <v>6750</v>
      </c>
      <c r="K10" s="18">
        <f t="shared" si="1"/>
        <v>51750</v>
      </c>
      <c r="L10" s="59"/>
      <c r="M10" s="82"/>
    </row>
    <row r="11" spans="1:13" x14ac:dyDescent="0.3">
      <c r="A11" s="5">
        <v>46147</v>
      </c>
      <c r="B11" s="6">
        <v>296</v>
      </c>
      <c r="C11" s="6" t="s">
        <v>13</v>
      </c>
      <c r="D11" s="6" t="s">
        <v>164</v>
      </c>
      <c r="E11" s="6" t="s">
        <v>22</v>
      </c>
      <c r="F11" s="6">
        <v>400</v>
      </c>
      <c r="G11" s="6">
        <v>182</v>
      </c>
      <c r="H11" s="6">
        <v>400</v>
      </c>
      <c r="I11" s="6">
        <f t="shared" si="3"/>
        <v>72800</v>
      </c>
      <c r="J11" s="6">
        <f t="shared" si="0"/>
        <v>10920</v>
      </c>
      <c r="K11" s="69">
        <f t="shared" si="1"/>
        <v>83720</v>
      </c>
      <c r="L11" s="70"/>
    </row>
    <row r="12" spans="1:13" x14ac:dyDescent="0.3">
      <c r="A12" s="5">
        <v>46147</v>
      </c>
      <c r="B12" s="6">
        <v>296</v>
      </c>
      <c r="C12" s="6" t="s">
        <v>13</v>
      </c>
      <c r="D12" s="6" t="s">
        <v>164</v>
      </c>
      <c r="E12" s="6" t="s">
        <v>22</v>
      </c>
      <c r="F12" s="6">
        <v>100</v>
      </c>
      <c r="G12" s="6">
        <v>210</v>
      </c>
      <c r="H12" s="6">
        <v>100</v>
      </c>
      <c r="I12" s="6">
        <f t="shared" si="3"/>
        <v>21000</v>
      </c>
      <c r="J12" s="6">
        <f t="shared" si="0"/>
        <v>3150</v>
      </c>
      <c r="K12" s="69">
        <f t="shared" si="1"/>
        <v>24150</v>
      </c>
      <c r="L12" s="93"/>
    </row>
    <row r="13" spans="1:13" x14ac:dyDescent="0.3">
      <c r="A13" s="5">
        <v>46147</v>
      </c>
      <c r="B13" s="6">
        <v>296</v>
      </c>
      <c r="C13" s="6" t="s">
        <v>13</v>
      </c>
      <c r="D13" s="6" t="s">
        <v>164</v>
      </c>
      <c r="E13" s="6" t="s">
        <v>65</v>
      </c>
      <c r="F13" s="6">
        <v>20</v>
      </c>
      <c r="G13" s="6">
        <v>195</v>
      </c>
      <c r="H13" s="6">
        <v>20</v>
      </c>
      <c r="I13" s="6">
        <f t="shared" si="3"/>
        <v>3900</v>
      </c>
      <c r="J13" s="6">
        <f t="shared" si="0"/>
        <v>585</v>
      </c>
      <c r="K13" s="69">
        <f t="shared" si="1"/>
        <v>4485</v>
      </c>
      <c r="L13" s="70"/>
      <c r="M13" s="20"/>
    </row>
    <row r="14" spans="1:13" x14ac:dyDescent="0.3">
      <c r="A14" s="5">
        <v>46147</v>
      </c>
      <c r="B14" s="6">
        <v>297</v>
      </c>
      <c r="C14" s="6" t="s">
        <v>13</v>
      </c>
      <c r="D14" s="6" t="s">
        <v>174</v>
      </c>
      <c r="E14" s="7" t="s">
        <v>18</v>
      </c>
      <c r="F14" s="7">
        <v>30</v>
      </c>
      <c r="G14" s="7">
        <v>460</v>
      </c>
      <c r="H14" s="7">
        <v>30</v>
      </c>
      <c r="I14" s="7">
        <f t="shared" si="3"/>
        <v>13800</v>
      </c>
      <c r="J14" s="6">
        <f t="shared" si="0"/>
        <v>2070</v>
      </c>
      <c r="K14" s="69">
        <f t="shared" si="1"/>
        <v>15870</v>
      </c>
      <c r="L14" s="59"/>
      <c r="M14" s="20"/>
    </row>
    <row r="15" spans="1:13" x14ac:dyDescent="0.3">
      <c r="A15" s="5">
        <v>46147</v>
      </c>
      <c r="B15" s="6">
        <v>297</v>
      </c>
      <c r="C15" s="6" t="s">
        <v>13</v>
      </c>
      <c r="D15" s="6" t="s">
        <v>174</v>
      </c>
      <c r="E15" s="7" t="s">
        <v>122</v>
      </c>
      <c r="F15" s="7">
        <v>17</v>
      </c>
      <c r="G15" s="7">
        <v>410</v>
      </c>
      <c r="H15" s="7">
        <v>17</v>
      </c>
      <c r="I15" s="7">
        <f t="shared" si="3"/>
        <v>6970</v>
      </c>
      <c r="J15" s="6">
        <f t="shared" si="0"/>
        <v>1045.5</v>
      </c>
      <c r="K15" s="58">
        <f t="shared" si="1"/>
        <v>8015.5</v>
      </c>
      <c r="L15" s="59"/>
      <c r="M15" s="20"/>
    </row>
    <row r="16" spans="1:13" x14ac:dyDescent="0.3">
      <c r="A16" s="5">
        <v>46147</v>
      </c>
      <c r="B16" s="6">
        <v>297</v>
      </c>
      <c r="C16" s="6" t="s">
        <v>13</v>
      </c>
      <c r="D16" s="6" t="s">
        <v>174</v>
      </c>
      <c r="E16" s="6" t="s">
        <v>150</v>
      </c>
      <c r="F16" s="7">
        <v>2</v>
      </c>
      <c r="G16" s="7">
        <v>405</v>
      </c>
      <c r="H16" s="7">
        <v>2</v>
      </c>
      <c r="I16" s="7">
        <f t="shared" si="3"/>
        <v>810</v>
      </c>
      <c r="J16" s="6">
        <f t="shared" si="0"/>
        <v>121.5</v>
      </c>
      <c r="K16" s="58">
        <f t="shared" si="1"/>
        <v>931.5</v>
      </c>
      <c r="L16" s="59"/>
      <c r="M16" s="20"/>
    </row>
    <row r="17" spans="1:13" x14ac:dyDescent="0.3">
      <c r="A17" s="5">
        <v>46147</v>
      </c>
      <c r="B17" s="6">
        <v>297</v>
      </c>
      <c r="C17" s="6" t="s">
        <v>13</v>
      </c>
      <c r="D17" s="6" t="s">
        <v>174</v>
      </c>
      <c r="E17" s="7" t="s">
        <v>132</v>
      </c>
      <c r="F17" s="7">
        <v>10</v>
      </c>
      <c r="G17" s="7">
        <v>405</v>
      </c>
      <c r="H17" s="7">
        <v>10</v>
      </c>
      <c r="I17" s="7">
        <f t="shared" si="3"/>
        <v>4050</v>
      </c>
      <c r="J17" s="6">
        <f t="shared" si="0"/>
        <v>607.5</v>
      </c>
      <c r="K17" s="58">
        <f t="shared" si="1"/>
        <v>4657.5</v>
      </c>
      <c r="L17" s="59"/>
      <c r="M17" s="20"/>
    </row>
    <row r="18" spans="1:13" x14ac:dyDescent="0.3">
      <c r="A18" s="5">
        <v>46148</v>
      </c>
      <c r="B18" s="7">
        <v>298</v>
      </c>
      <c r="C18" s="6" t="s">
        <v>158</v>
      </c>
      <c r="D18" s="6" t="s">
        <v>193</v>
      </c>
      <c r="E18" s="6" t="s">
        <v>194</v>
      </c>
      <c r="F18" s="7">
        <v>5</v>
      </c>
      <c r="G18" s="7">
        <v>1080</v>
      </c>
      <c r="H18" s="7">
        <v>5</v>
      </c>
      <c r="I18" s="7">
        <f t="shared" si="3"/>
        <v>5400</v>
      </c>
      <c r="J18" s="6">
        <f t="shared" si="0"/>
        <v>810</v>
      </c>
      <c r="K18" s="95">
        <f t="shared" si="1"/>
        <v>6210</v>
      </c>
      <c r="L18" s="96"/>
      <c r="M18" s="20"/>
    </row>
    <row r="19" spans="1:13" x14ac:dyDescent="0.3">
      <c r="A19" s="5">
        <v>46148</v>
      </c>
      <c r="B19" s="7">
        <v>299</v>
      </c>
      <c r="C19" s="6" t="s">
        <v>13</v>
      </c>
      <c r="D19" s="6" t="s">
        <v>167</v>
      </c>
      <c r="E19" s="7" t="s">
        <v>171</v>
      </c>
      <c r="F19" s="7">
        <v>10</v>
      </c>
      <c r="G19" s="7">
        <v>465</v>
      </c>
      <c r="H19" s="7">
        <v>10</v>
      </c>
      <c r="I19" s="7">
        <f t="shared" si="3"/>
        <v>4650</v>
      </c>
      <c r="J19" s="6">
        <f t="shared" si="0"/>
        <v>697.5</v>
      </c>
      <c r="K19" s="58">
        <f t="shared" si="1"/>
        <v>5347.5</v>
      </c>
      <c r="L19" s="59"/>
      <c r="M19" s="20"/>
    </row>
    <row r="20" spans="1:13" x14ac:dyDescent="0.3">
      <c r="A20" s="5">
        <v>46148</v>
      </c>
      <c r="B20" s="7">
        <v>300</v>
      </c>
      <c r="C20" s="6" t="s">
        <v>158</v>
      </c>
      <c r="D20" s="6" t="s">
        <v>177</v>
      </c>
      <c r="E20" s="7" t="s">
        <v>173</v>
      </c>
      <c r="F20" s="7">
        <v>5</v>
      </c>
      <c r="G20" s="7">
        <v>28.5</v>
      </c>
      <c r="H20" s="7">
        <v>106.88</v>
      </c>
      <c r="I20" s="7">
        <f t="shared" si="3"/>
        <v>3046.08</v>
      </c>
      <c r="J20" s="6">
        <f t="shared" si="0"/>
        <v>456.91199999999998</v>
      </c>
      <c r="K20" s="58">
        <f t="shared" si="1"/>
        <v>3502.9919999999997</v>
      </c>
      <c r="L20" s="59"/>
      <c r="M20" s="20"/>
    </row>
    <row r="21" spans="1:13" x14ac:dyDescent="0.3">
      <c r="A21" s="5">
        <v>46148</v>
      </c>
      <c r="B21" s="7">
        <v>300</v>
      </c>
      <c r="C21" s="6" t="s">
        <v>158</v>
      </c>
      <c r="D21" s="6" t="s">
        <v>177</v>
      </c>
      <c r="E21" s="6" t="s">
        <v>132</v>
      </c>
      <c r="F21" s="7">
        <v>5</v>
      </c>
      <c r="G21" s="7">
        <v>410</v>
      </c>
      <c r="H21" s="7">
        <v>5</v>
      </c>
      <c r="I21" s="7">
        <f t="shared" si="3"/>
        <v>2050</v>
      </c>
      <c r="J21" s="6">
        <f t="shared" si="0"/>
        <v>307.5</v>
      </c>
      <c r="K21" s="58">
        <f t="shared" si="1"/>
        <v>2357.5</v>
      </c>
      <c r="L21" s="59"/>
      <c r="M21" s="20"/>
    </row>
    <row r="22" spans="1:13" x14ac:dyDescent="0.3">
      <c r="A22" s="5">
        <v>46151</v>
      </c>
      <c r="B22" s="7">
        <v>301</v>
      </c>
      <c r="C22" s="6" t="s">
        <v>13</v>
      </c>
      <c r="D22" s="6" t="s">
        <v>195</v>
      </c>
      <c r="E22" s="7" t="s">
        <v>196</v>
      </c>
      <c r="F22" s="7">
        <v>20</v>
      </c>
      <c r="G22" s="7">
        <v>666</v>
      </c>
      <c r="H22" s="7">
        <v>20</v>
      </c>
      <c r="I22" s="7">
        <f t="shared" si="3"/>
        <v>13320</v>
      </c>
      <c r="J22" s="6">
        <f t="shared" si="0"/>
        <v>1998</v>
      </c>
      <c r="K22" s="18">
        <f t="shared" si="1"/>
        <v>15318</v>
      </c>
      <c r="L22" s="21"/>
      <c r="M22" s="20"/>
    </row>
    <row r="23" spans="1:13" x14ac:dyDescent="0.3">
      <c r="A23" s="5">
        <v>46151</v>
      </c>
      <c r="B23" s="7">
        <v>302</v>
      </c>
      <c r="C23" s="6" t="s">
        <v>158</v>
      </c>
      <c r="D23" s="7" t="s">
        <v>200</v>
      </c>
      <c r="E23" s="7" t="s">
        <v>132</v>
      </c>
      <c r="F23" s="17">
        <v>5</v>
      </c>
      <c r="G23" s="7">
        <v>405</v>
      </c>
      <c r="H23" s="7">
        <v>5</v>
      </c>
      <c r="I23" s="7">
        <f t="shared" si="3"/>
        <v>2025</v>
      </c>
      <c r="J23" s="8">
        <f t="shared" si="0"/>
        <v>303.75</v>
      </c>
      <c r="K23" s="11">
        <f t="shared" si="1"/>
        <v>2328.75</v>
      </c>
      <c r="L23" s="12"/>
      <c r="M23" s="20"/>
    </row>
    <row r="24" spans="1:13" x14ac:dyDescent="0.3">
      <c r="A24" s="5">
        <v>46151</v>
      </c>
      <c r="B24" s="7">
        <v>302</v>
      </c>
      <c r="C24" s="6" t="s">
        <v>158</v>
      </c>
      <c r="D24" s="7" t="s">
        <v>200</v>
      </c>
      <c r="E24" s="6" t="s">
        <v>189</v>
      </c>
      <c r="F24" s="8">
        <v>5</v>
      </c>
      <c r="G24" s="8">
        <v>435</v>
      </c>
      <c r="H24" s="8">
        <v>5</v>
      </c>
      <c r="I24" s="7">
        <f>H24*G24</f>
        <v>2175</v>
      </c>
      <c r="J24" s="8">
        <f t="shared" si="0"/>
        <v>326.25</v>
      </c>
      <c r="K24" s="11">
        <f t="shared" si="1"/>
        <v>2501.25</v>
      </c>
      <c r="L24" s="12"/>
      <c r="M24" s="20"/>
    </row>
    <row r="25" spans="1:13" x14ac:dyDescent="0.3">
      <c r="A25" s="5">
        <v>46151</v>
      </c>
      <c r="B25" s="7">
        <v>302</v>
      </c>
      <c r="C25" s="6" t="s">
        <v>158</v>
      </c>
      <c r="D25" s="7" t="s">
        <v>200</v>
      </c>
      <c r="E25" s="6" t="s">
        <v>171</v>
      </c>
      <c r="F25" s="8">
        <v>10</v>
      </c>
      <c r="G25" s="8">
        <v>465</v>
      </c>
      <c r="H25" s="8">
        <v>10</v>
      </c>
      <c r="I25" s="7">
        <f>H25*G25</f>
        <v>4650</v>
      </c>
      <c r="J25" s="8">
        <f t="shared" si="0"/>
        <v>697.5</v>
      </c>
      <c r="K25" s="11">
        <f t="shared" si="1"/>
        <v>5347.5</v>
      </c>
      <c r="L25" s="12"/>
      <c r="M25" s="20"/>
    </row>
    <row r="26" spans="1:13" x14ac:dyDescent="0.3">
      <c r="A26" s="5">
        <v>46151</v>
      </c>
      <c r="B26" s="7">
        <v>302</v>
      </c>
      <c r="C26" s="6" t="s">
        <v>158</v>
      </c>
      <c r="D26" s="7" t="s">
        <v>200</v>
      </c>
      <c r="E26" s="7" t="s">
        <v>18</v>
      </c>
      <c r="F26" s="8">
        <v>5</v>
      </c>
      <c r="G26" s="8">
        <v>460</v>
      </c>
      <c r="H26" s="17">
        <v>5</v>
      </c>
      <c r="I26" s="7">
        <f t="shared" si="3"/>
        <v>2300</v>
      </c>
      <c r="J26" s="8">
        <f t="shared" si="0"/>
        <v>345</v>
      </c>
      <c r="K26" s="11">
        <f t="shared" si="1"/>
        <v>2645</v>
      </c>
      <c r="L26" s="12"/>
    </row>
    <row r="27" spans="1:13" x14ac:dyDescent="0.3">
      <c r="A27" s="5">
        <v>46151</v>
      </c>
      <c r="B27" s="7">
        <v>302</v>
      </c>
      <c r="C27" s="6" t="s">
        <v>158</v>
      </c>
      <c r="D27" s="7" t="s">
        <v>200</v>
      </c>
      <c r="E27" s="7" t="s">
        <v>30</v>
      </c>
      <c r="F27" s="8">
        <v>5</v>
      </c>
      <c r="G27" s="8">
        <v>365</v>
      </c>
      <c r="H27" s="17">
        <v>5</v>
      </c>
      <c r="I27" s="7">
        <f t="shared" si="3"/>
        <v>1825</v>
      </c>
      <c r="J27" s="8">
        <f t="shared" si="0"/>
        <v>273.75</v>
      </c>
      <c r="K27" s="11">
        <f t="shared" si="1"/>
        <v>2098.75</v>
      </c>
      <c r="L27" s="12"/>
      <c r="M27" s="20"/>
    </row>
    <row r="28" spans="1:13" x14ac:dyDescent="0.3">
      <c r="A28" s="5">
        <v>46151</v>
      </c>
      <c r="B28" s="6">
        <v>302</v>
      </c>
      <c r="C28" s="6" t="s">
        <v>158</v>
      </c>
      <c r="D28" s="7" t="s">
        <v>200</v>
      </c>
      <c r="E28" s="7" t="s">
        <v>172</v>
      </c>
      <c r="F28" s="8">
        <v>2</v>
      </c>
      <c r="G28" s="8">
        <v>28.5</v>
      </c>
      <c r="H28" s="13">
        <v>42.32</v>
      </c>
      <c r="I28" s="7">
        <f t="shared" si="3"/>
        <v>1206.1200000000001</v>
      </c>
      <c r="J28" s="8">
        <f t="shared" si="0"/>
        <v>180.91800000000001</v>
      </c>
      <c r="K28" s="11">
        <f t="shared" si="1"/>
        <v>1387.038</v>
      </c>
      <c r="L28" s="12"/>
      <c r="M28" s="20"/>
    </row>
    <row r="29" spans="1:13" x14ac:dyDescent="0.3">
      <c r="A29" s="5">
        <v>46151</v>
      </c>
      <c r="B29" s="6">
        <v>303</v>
      </c>
      <c r="C29" s="6" t="s">
        <v>186</v>
      </c>
      <c r="D29" s="6" t="s">
        <v>185</v>
      </c>
      <c r="E29" s="6" t="s">
        <v>172</v>
      </c>
      <c r="F29" s="8">
        <v>1054</v>
      </c>
      <c r="G29" s="8">
        <v>27</v>
      </c>
      <c r="H29" s="13">
        <v>21989.5</v>
      </c>
      <c r="I29" s="8">
        <f t="shared" si="3"/>
        <v>593716.5</v>
      </c>
      <c r="J29" s="8">
        <f t="shared" si="0"/>
        <v>89057.474999999991</v>
      </c>
      <c r="K29" s="11">
        <f t="shared" si="1"/>
        <v>682773.97499999998</v>
      </c>
      <c r="L29" s="12"/>
      <c r="M29" s="20"/>
    </row>
    <row r="30" spans="1:13" x14ac:dyDescent="0.3">
      <c r="A30" s="5">
        <v>46151</v>
      </c>
      <c r="B30" s="6">
        <v>304</v>
      </c>
      <c r="C30" s="6" t="s">
        <v>13</v>
      </c>
      <c r="D30" s="6" t="s">
        <v>164</v>
      </c>
      <c r="E30" s="6" t="s">
        <v>22</v>
      </c>
      <c r="F30" s="8">
        <v>500</v>
      </c>
      <c r="G30" s="8">
        <v>210</v>
      </c>
      <c r="H30" s="8">
        <v>500</v>
      </c>
      <c r="I30" s="8">
        <f t="shared" si="3"/>
        <v>105000</v>
      </c>
      <c r="J30" s="8">
        <f t="shared" si="0"/>
        <v>15750</v>
      </c>
      <c r="K30" s="78">
        <f t="shared" si="1"/>
        <v>120750</v>
      </c>
      <c r="L30" s="79"/>
      <c r="M30" s="20"/>
    </row>
    <row r="31" spans="1:13" x14ac:dyDescent="0.3">
      <c r="A31" s="5">
        <v>46151</v>
      </c>
      <c r="B31" s="6">
        <v>304</v>
      </c>
      <c r="C31" s="6" t="s">
        <v>13</v>
      </c>
      <c r="D31" s="6" t="s">
        <v>164</v>
      </c>
      <c r="E31" s="6" t="s">
        <v>65</v>
      </c>
      <c r="F31" s="8">
        <v>20</v>
      </c>
      <c r="G31" s="8">
        <v>189</v>
      </c>
      <c r="H31" s="8">
        <v>20</v>
      </c>
      <c r="I31" s="8">
        <f t="shared" si="3"/>
        <v>3780</v>
      </c>
      <c r="J31" s="8">
        <f t="shared" si="0"/>
        <v>567</v>
      </c>
      <c r="K31" s="78">
        <f t="shared" si="1"/>
        <v>4347</v>
      </c>
      <c r="L31" s="79"/>
      <c r="M31" s="20"/>
    </row>
    <row r="32" spans="1:13" x14ac:dyDescent="0.3">
      <c r="A32" s="5">
        <v>46152</v>
      </c>
      <c r="B32" s="6">
        <v>305</v>
      </c>
      <c r="C32" s="6" t="s">
        <v>158</v>
      </c>
      <c r="D32" s="7" t="s">
        <v>201</v>
      </c>
      <c r="E32" s="7" t="s">
        <v>132</v>
      </c>
      <c r="F32" s="8">
        <v>10</v>
      </c>
      <c r="G32" s="8">
        <v>405</v>
      </c>
      <c r="H32" s="17">
        <v>10</v>
      </c>
      <c r="I32" s="8">
        <f t="shared" si="3"/>
        <v>4050</v>
      </c>
      <c r="J32" s="8">
        <f t="shared" si="0"/>
        <v>607.5</v>
      </c>
      <c r="K32" s="69">
        <f t="shared" si="1"/>
        <v>4657.5</v>
      </c>
      <c r="L32" s="70"/>
    </row>
    <row r="33" spans="1:13" x14ac:dyDescent="0.3">
      <c r="A33" s="5">
        <v>46152</v>
      </c>
      <c r="B33" s="6">
        <v>306</v>
      </c>
      <c r="C33" s="6" t="s">
        <v>13</v>
      </c>
      <c r="D33" s="6" t="s">
        <v>167</v>
      </c>
      <c r="E33" s="6" t="s">
        <v>171</v>
      </c>
      <c r="F33" s="8">
        <v>10</v>
      </c>
      <c r="G33" s="8">
        <v>457</v>
      </c>
      <c r="H33" s="13">
        <v>10</v>
      </c>
      <c r="I33" s="8">
        <f t="shared" si="3"/>
        <v>4570</v>
      </c>
      <c r="J33" s="8">
        <f t="shared" si="0"/>
        <v>685.5</v>
      </c>
      <c r="K33" s="69">
        <f t="shared" si="1"/>
        <v>5255.5</v>
      </c>
      <c r="L33" s="70"/>
    </row>
    <row r="34" spans="1:13" x14ac:dyDescent="0.3">
      <c r="A34" s="5">
        <v>46152</v>
      </c>
      <c r="B34" s="6">
        <v>307</v>
      </c>
      <c r="C34" s="6" t="s">
        <v>13</v>
      </c>
      <c r="D34" s="6" t="s">
        <v>31</v>
      </c>
      <c r="E34" s="6" t="s">
        <v>30</v>
      </c>
      <c r="F34" s="8">
        <v>33</v>
      </c>
      <c r="G34" s="8">
        <v>355</v>
      </c>
      <c r="H34" s="17">
        <v>33</v>
      </c>
      <c r="I34" s="8">
        <f t="shared" si="3"/>
        <v>11715</v>
      </c>
      <c r="J34" s="8">
        <f t="shared" si="0"/>
        <v>1757.25</v>
      </c>
      <c r="K34" s="98">
        <f t="shared" si="1"/>
        <v>13472.25</v>
      </c>
      <c r="L34" s="99"/>
    </row>
    <row r="35" spans="1:13" x14ac:dyDescent="0.3">
      <c r="A35" s="5">
        <v>46153</v>
      </c>
      <c r="B35" s="6">
        <v>308</v>
      </c>
      <c r="C35" s="6" t="s">
        <v>13</v>
      </c>
      <c r="D35" s="6" t="s">
        <v>118</v>
      </c>
      <c r="E35" s="7" t="s">
        <v>196</v>
      </c>
      <c r="F35" s="8">
        <v>10</v>
      </c>
      <c r="G35" s="8">
        <v>666</v>
      </c>
      <c r="H35" s="8">
        <v>10</v>
      </c>
      <c r="I35" s="8">
        <f t="shared" si="3"/>
        <v>6660</v>
      </c>
      <c r="J35" s="8">
        <f t="shared" si="0"/>
        <v>999</v>
      </c>
      <c r="K35" s="69">
        <f>I35+J35</f>
        <v>7659</v>
      </c>
      <c r="L35" s="70"/>
    </row>
    <row r="36" spans="1:13" x14ac:dyDescent="0.3">
      <c r="A36" s="5">
        <v>46153</v>
      </c>
      <c r="B36" s="6">
        <v>308</v>
      </c>
      <c r="C36" s="6" t="s">
        <v>13</v>
      </c>
      <c r="D36" s="6" t="s">
        <v>118</v>
      </c>
      <c r="E36" s="6" t="s">
        <v>189</v>
      </c>
      <c r="F36" s="8">
        <v>10</v>
      </c>
      <c r="G36" s="8">
        <v>435</v>
      </c>
      <c r="H36" s="8">
        <v>10</v>
      </c>
      <c r="I36" s="8">
        <f t="shared" si="3"/>
        <v>4350</v>
      </c>
      <c r="J36" s="8">
        <f t="shared" si="0"/>
        <v>652.5</v>
      </c>
      <c r="K36" s="69">
        <f t="shared" si="1"/>
        <v>5002.5</v>
      </c>
      <c r="L36" s="70"/>
    </row>
    <row r="37" spans="1:13" x14ac:dyDescent="0.3">
      <c r="A37" s="5">
        <v>46153</v>
      </c>
      <c r="B37" s="6">
        <v>308</v>
      </c>
      <c r="C37" s="6" t="s">
        <v>13</v>
      </c>
      <c r="D37" s="6" t="s">
        <v>118</v>
      </c>
      <c r="E37" s="6" t="s">
        <v>132</v>
      </c>
      <c r="F37" s="8">
        <v>25</v>
      </c>
      <c r="G37" s="8">
        <v>405</v>
      </c>
      <c r="H37" s="8">
        <v>25</v>
      </c>
      <c r="I37" s="8">
        <f t="shared" si="3"/>
        <v>10125</v>
      </c>
      <c r="J37" s="8">
        <f t="shared" si="0"/>
        <v>1518.75</v>
      </c>
      <c r="K37" s="69">
        <f t="shared" si="1"/>
        <v>11643.75</v>
      </c>
      <c r="L37" s="70"/>
    </row>
    <row r="38" spans="1:13" x14ac:dyDescent="0.3">
      <c r="A38" s="5">
        <v>46153</v>
      </c>
      <c r="B38" s="6">
        <v>309</v>
      </c>
      <c r="C38" s="71" t="s">
        <v>158</v>
      </c>
      <c r="D38" s="6" t="s">
        <v>174</v>
      </c>
      <c r="E38" s="6" t="s">
        <v>132</v>
      </c>
      <c r="F38" s="8">
        <v>20</v>
      </c>
      <c r="G38" s="8">
        <v>405</v>
      </c>
      <c r="H38" s="17">
        <v>20</v>
      </c>
      <c r="I38" s="8">
        <f t="shared" si="3"/>
        <v>8100</v>
      </c>
      <c r="J38" s="8">
        <f t="shared" si="0"/>
        <v>1215</v>
      </c>
      <c r="K38" s="11">
        <f t="shared" si="1"/>
        <v>9315</v>
      </c>
      <c r="L38" s="92"/>
      <c r="M38" s="73"/>
    </row>
    <row r="39" spans="1:13" x14ac:dyDescent="0.3">
      <c r="A39" s="5">
        <v>46153</v>
      </c>
      <c r="B39" s="6">
        <v>310</v>
      </c>
      <c r="C39" s="6" t="s">
        <v>13</v>
      </c>
      <c r="D39" s="6" t="s">
        <v>195</v>
      </c>
      <c r="E39" s="7" t="s">
        <v>196</v>
      </c>
      <c r="F39" s="8">
        <v>76</v>
      </c>
      <c r="G39" s="8">
        <v>657</v>
      </c>
      <c r="H39" s="8">
        <v>76</v>
      </c>
      <c r="I39" s="8">
        <f t="shared" si="3"/>
        <v>49932</v>
      </c>
      <c r="J39" s="8">
        <f t="shared" si="0"/>
        <v>7489.7999999999993</v>
      </c>
      <c r="K39" s="67">
        <f t="shared" si="1"/>
        <v>57421.8</v>
      </c>
      <c r="L39" s="100"/>
      <c r="M39" s="20"/>
    </row>
    <row r="40" spans="1:13" x14ac:dyDescent="0.3">
      <c r="A40" s="5">
        <v>46153</v>
      </c>
      <c r="B40" s="6">
        <v>310</v>
      </c>
      <c r="C40" s="6" t="s">
        <v>13</v>
      </c>
      <c r="D40" s="6" t="s">
        <v>195</v>
      </c>
      <c r="E40" s="6" t="s">
        <v>21</v>
      </c>
      <c r="F40" s="8">
        <v>100</v>
      </c>
      <c r="G40" s="8">
        <v>435</v>
      </c>
      <c r="H40" s="8">
        <v>100</v>
      </c>
      <c r="I40" s="8">
        <f t="shared" si="3"/>
        <v>43500</v>
      </c>
      <c r="J40" s="8">
        <f t="shared" si="0"/>
        <v>6525</v>
      </c>
      <c r="K40" s="67">
        <f t="shared" si="1"/>
        <v>50025</v>
      </c>
      <c r="L40" s="68"/>
    </row>
    <row r="41" spans="1:13" x14ac:dyDescent="0.3">
      <c r="A41" s="5">
        <v>46154</v>
      </c>
      <c r="B41" s="6">
        <v>311</v>
      </c>
      <c r="C41" s="6" t="s">
        <v>13</v>
      </c>
      <c r="D41" s="6" t="s">
        <v>202</v>
      </c>
      <c r="E41" s="6" t="s">
        <v>132</v>
      </c>
      <c r="F41" s="8">
        <v>5</v>
      </c>
      <c r="G41" s="8">
        <v>405</v>
      </c>
      <c r="H41" s="8">
        <v>5</v>
      </c>
      <c r="I41" s="8">
        <f t="shared" si="3"/>
        <v>2025</v>
      </c>
      <c r="J41" s="8">
        <f t="shared" si="0"/>
        <v>303.75</v>
      </c>
      <c r="K41" s="11">
        <f t="shared" si="1"/>
        <v>2328.75</v>
      </c>
      <c r="L41" s="12"/>
    </row>
    <row r="42" spans="1:13" x14ac:dyDescent="0.3">
      <c r="A42" s="5">
        <v>46155</v>
      </c>
      <c r="B42" s="6">
        <v>312</v>
      </c>
      <c r="C42" s="6" t="s">
        <v>13</v>
      </c>
      <c r="D42" s="6" t="s">
        <v>203</v>
      </c>
      <c r="E42" s="7" t="s">
        <v>196</v>
      </c>
      <c r="F42" s="8">
        <v>86</v>
      </c>
      <c r="G42" s="8">
        <v>666</v>
      </c>
      <c r="H42" s="8">
        <v>86</v>
      </c>
      <c r="I42" s="8">
        <f t="shared" si="3"/>
        <v>57276</v>
      </c>
      <c r="J42" s="8">
        <f t="shared" si="0"/>
        <v>8591.4</v>
      </c>
      <c r="K42" s="11">
        <f t="shared" si="1"/>
        <v>65867.399999999994</v>
      </c>
      <c r="L42" s="12"/>
    </row>
    <row r="43" spans="1:13" x14ac:dyDescent="0.3">
      <c r="A43" s="5">
        <v>46155</v>
      </c>
      <c r="B43" s="6">
        <v>313</v>
      </c>
      <c r="C43" s="6" t="s">
        <v>13</v>
      </c>
      <c r="D43" s="6" t="s">
        <v>202</v>
      </c>
      <c r="E43" s="6" t="s">
        <v>171</v>
      </c>
      <c r="F43" s="8">
        <v>3</v>
      </c>
      <c r="G43" s="8">
        <v>455</v>
      </c>
      <c r="H43" s="8">
        <v>3</v>
      </c>
      <c r="I43" s="8">
        <f t="shared" si="3"/>
        <v>1365</v>
      </c>
      <c r="J43" s="8">
        <f t="shared" si="0"/>
        <v>204.75</v>
      </c>
      <c r="K43" s="69">
        <f t="shared" si="1"/>
        <v>1569.75</v>
      </c>
      <c r="L43" s="70"/>
      <c r="M43" s="20"/>
    </row>
    <row r="44" spans="1:13" x14ac:dyDescent="0.3">
      <c r="A44" s="5">
        <v>46155</v>
      </c>
      <c r="B44" s="6">
        <v>313</v>
      </c>
      <c r="C44" s="6" t="s">
        <v>13</v>
      </c>
      <c r="D44" s="7" t="s">
        <v>202</v>
      </c>
      <c r="E44" s="6" t="s">
        <v>115</v>
      </c>
      <c r="F44" s="8">
        <v>3</v>
      </c>
      <c r="G44" s="8">
        <v>355</v>
      </c>
      <c r="H44" s="8">
        <v>3</v>
      </c>
      <c r="I44" s="8">
        <f t="shared" si="3"/>
        <v>1065</v>
      </c>
      <c r="J44" s="8">
        <f t="shared" si="0"/>
        <v>159.75</v>
      </c>
      <c r="K44" s="69">
        <f t="shared" si="1"/>
        <v>1224.75</v>
      </c>
      <c r="L44" s="70"/>
      <c r="M44" s="20"/>
    </row>
    <row r="45" spans="1:13" x14ac:dyDescent="0.3">
      <c r="A45" s="5">
        <v>46155</v>
      </c>
      <c r="B45" s="6">
        <v>314</v>
      </c>
      <c r="C45" s="6" t="s">
        <v>158</v>
      </c>
      <c r="D45" s="6" t="s">
        <v>204</v>
      </c>
      <c r="E45" s="6" t="s">
        <v>171</v>
      </c>
      <c r="F45" s="8">
        <v>40</v>
      </c>
      <c r="G45" s="8">
        <v>455</v>
      </c>
      <c r="H45" s="8">
        <v>40</v>
      </c>
      <c r="I45" s="8">
        <f t="shared" si="3"/>
        <v>18200</v>
      </c>
      <c r="J45" s="8">
        <f t="shared" si="0"/>
        <v>2730</v>
      </c>
      <c r="K45" s="11">
        <f t="shared" si="1"/>
        <v>20930</v>
      </c>
      <c r="L45" s="12"/>
      <c r="M45" s="20"/>
    </row>
    <row r="46" spans="1:13" x14ac:dyDescent="0.3">
      <c r="A46" s="5">
        <v>46155</v>
      </c>
      <c r="B46" s="6">
        <v>314</v>
      </c>
      <c r="C46" s="6" t="s">
        <v>158</v>
      </c>
      <c r="D46" s="6" t="s">
        <v>204</v>
      </c>
      <c r="E46" s="6" t="s">
        <v>18</v>
      </c>
      <c r="F46" s="8">
        <v>40</v>
      </c>
      <c r="G46" s="8">
        <v>455</v>
      </c>
      <c r="H46" s="8">
        <v>40</v>
      </c>
      <c r="I46" s="8">
        <f t="shared" si="3"/>
        <v>18200</v>
      </c>
      <c r="J46" s="8">
        <f t="shared" si="0"/>
        <v>2730</v>
      </c>
      <c r="K46" s="11">
        <f t="shared" si="1"/>
        <v>20930</v>
      </c>
      <c r="L46" s="12"/>
      <c r="M46" s="20"/>
    </row>
    <row r="47" spans="1:13" x14ac:dyDescent="0.3">
      <c r="A47" s="5">
        <v>46155</v>
      </c>
      <c r="B47" s="6">
        <v>315</v>
      </c>
      <c r="C47" s="6" t="s">
        <v>158</v>
      </c>
      <c r="D47" s="6" t="s">
        <v>177</v>
      </c>
      <c r="E47" s="6" t="s">
        <v>132</v>
      </c>
      <c r="F47" s="8">
        <v>10</v>
      </c>
      <c r="G47" s="8">
        <v>410</v>
      </c>
      <c r="H47" s="8">
        <v>10</v>
      </c>
      <c r="I47" s="8">
        <f t="shared" si="3"/>
        <v>4100</v>
      </c>
      <c r="J47" s="8">
        <f t="shared" si="0"/>
        <v>615</v>
      </c>
      <c r="K47" s="11">
        <f t="shared" si="1"/>
        <v>4715</v>
      </c>
      <c r="L47" s="12"/>
      <c r="M47" s="20"/>
    </row>
    <row r="48" spans="1:13" x14ac:dyDescent="0.3">
      <c r="A48" s="5">
        <v>46155</v>
      </c>
      <c r="B48" s="6">
        <v>315</v>
      </c>
      <c r="C48" s="6" t="s">
        <v>158</v>
      </c>
      <c r="D48" s="6" t="s">
        <v>177</v>
      </c>
      <c r="E48" s="6" t="s">
        <v>190</v>
      </c>
      <c r="F48" s="8">
        <v>10</v>
      </c>
      <c r="G48" s="8">
        <v>33.5</v>
      </c>
      <c r="H48" s="8">
        <v>189.49</v>
      </c>
      <c r="I48" s="8">
        <f t="shared" si="3"/>
        <v>6347.915</v>
      </c>
      <c r="J48" s="8">
        <f t="shared" si="0"/>
        <v>952.18724999999995</v>
      </c>
      <c r="K48" s="11">
        <f t="shared" si="1"/>
        <v>7300.1022499999999</v>
      </c>
      <c r="L48" s="12"/>
      <c r="M48" s="20"/>
    </row>
    <row r="49" spans="1:13" x14ac:dyDescent="0.3">
      <c r="A49" s="5">
        <v>46155</v>
      </c>
      <c r="B49" s="6">
        <v>315</v>
      </c>
      <c r="C49" s="6" t="s">
        <v>158</v>
      </c>
      <c r="D49" s="6" t="s">
        <v>177</v>
      </c>
      <c r="E49" s="6" t="s">
        <v>65</v>
      </c>
      <c r="F49" s="8">
        <v>15</v>
      </c>
      <c r="G49" s="8">
        <v>190</v>
      </c>
      <c r="H49" s="8">
        <v>15</v>
      </c>
      <c r="I49" s="8">
        <f t="shared" si="3"/>
        <v>2850</v>
      </c>
      <c r="J49" s="8">
        <f t="shared" si="0"/>
        <v>427.5</v>
      </c>
      <c r="K49" s="11">
        <f t="shared" si="1"/>
        <v>3277.5</v>
      </c>
      <c r="L49" s="12"/>
      <c r="M49" s="20"/>
    </row>
    <row r="50" spans="1:13" x14ac:dyDescent="0.3">
      <c r="A50" s="5">
        <v>46156</v>
      </c>
      <c r="B50" s="6">
        <v>316</v>
      </c>
      <c r="C50" s="6" t="s">
        <v>13</v>
      </c>
      <c r="D50" s="6" t="s">
        <v>29</v>
      </c>
      <c r="E50" s="6" t="s">
        <v>18</v>
      </c>
      <c r="F50" s="8">
        <v>10</v>
      </c>
      <c r="G50" s="8">
        <v>450</v>
      </c>
      <c r="H50" s="8">
        <v>10</v>
      </c>
      <c r="I50" s="8">
        <f t="shared" si="3"/>
        <v>4500</v>
      </c>
      <c r="J50" s="8">
        <f t="shared" si="0"/>
        <v>675</v>
      </c>
      <c r="K50" s="69">
        <f t="shared" si="1"/>
        <v>5175</v>
      </c>
      <c r="L50" s="70"/>
      <c r="M50" s="20"/>
    </row>
    <row r="51" spans="1:13" x14ac:dyDescent="0.3">
      <c r="A51" s="5">
        <v>46156</v>
      </c>
      <c r="B51" s="6">
        <v>317</v>
      </c>
      <c r="C51" s="6" t="s">
        <v>13</v>
      </c>
      <c r="D51" s="6" t="s">
        <v>164</v>
      </c>
      <c r="E51" s="6" t="s">
        <v>22</v>
      </c>
      <c r="F51" s="8">
        <v>120</v>
      </c>
      <c r="G51" s="8">
        <v>210</v>
      </c>
      <c r="H51" s="8">
        <v>120</v>
      </c>
      <c r="I51" s="8">
        <f t="shared" si="3"/>
        <v>25200</v>
      </c>
      <c r="J51" s="8">
        <f t="shared" si="0"/>
        <v>3780</v>
      </c>
      <c r="K51" s="11">
        <f t="shared" si="1"/>
        <v>28980</v>
      </c>
      <c r="L51" s="12"/>
    </row>
    <row r="52" spans="1:13" x14ac:dyDescent="0.3">
      <c r="A52" s="5">
        <v>46156</v>
      </c>
      <c r="B52" s="6">
        <v>317</v>
      </c>
      <c r="C52" s="6" t="s">
        <v>13</v>
      </c>
      <c r="D52" s="6" t="s">
        <v>164</v>
      </c>
      <c r="E52" s="6" t="s">
        <v>16</v>
      </c>
      <c r="F52" s="8">
        <v>380</v>
      </c>
      <c r="G52" s="8">
        <v>214</v>
      </c>
      <c r="H52" s="8">
        <v>380</v>
      </c>
      <c r="I52" s="8">
        <f t="shared" si="3"/>
        <v>81320</v>
      </c>
      <c r="J52" s="8">
        <f t="shared" si="0"/>
        <v>12198</v>
      </c>
      <c r="K52" s="11">
        <f t="shared" si="1"/>
        <v>93518</v>
      </c>
      <c r="L52" s="12"/>
      <c r="M52" s="20"/>
    </row>
    <row r="53" spans="1:13" x14ac:dyDescent="0.3">
      <c r="A53" s="5">
        <v>46156</v>
      </c>
      <c r="B53" s="6">
        <v>318</v>
      </c>
      <c r="C53" s="6" t="s">
        <v>13</v>
      </c>
      <c r="D53" s="7" t="s">
        <v>134</v>
      </c>
      <c r="E53" s="7" t="s">
        <v>115</v>
      </c>
      <c r="F53" s="8">
        <v>896</v>
      </c>
      <c r="G53" s="8">
        <v>335</v>
      </c>
      <c r="H53" s="8">
        <v>896</v>
      </c>
      <c r="I53" s="8">
        <f t="shared" si="3"/>
        <v>300160</v>
      </c>
      <c r="J53" s="8">
        <f t="shared" si="0"/>
        <v>45024</v>
      </c>
      <c r="K53" s="11">
        <f t="shared" si="1"/>
        <v>345184</v>
      </c>
      <c r="L53" s="12"/>
      <c r="M53" s="20"/>
    </row>
    <row r="54" spans="1:13" x14ac:dyDescent="0.3">
      <c r="A54" s="5">
        <v>46156</v>
      </c>
      <c r="B54" s="6">
        <v>319</v>
      </c>
      <c r="C54" s="6" t="s">
        <v>13</v>
      </c>
      <c r="D54" s="7" t="s">
        <v>167</v>
      </c>
      <c r="E54" s="6" t="s">
        <v>150</v>
      </c>
      <c r="F54" s="8">
        <v>25</v>
      </c>
      <c r="G54" s="8">
        <v>385</v>
      </c>
      <c r="H54" s="8">
        <v>25</v>
      </c>
      <c r="I54" s="8">
        <f t="shared" si="3"/>
        <v>9625</v>
      </c>
      <c r="J54" s="8">
        <f t="shared" si="0"/>
        <v>1443.75</v>
      </c>
      <c r="K54" s="11">
        <f t="shared" si="1"/>
        <v>11068.75</v>
      </c>
      <c r="L54" s="12"/>
      <c r="M54" s="20"/>
    </row>
    <row r="55" spans="1:13" x14ac:dyDescent="0.3">
      <c r="A55" s="5">
        <v>46158</v>
      </c>
      <c r="B55" s="6">
        <v>320</v>
      </c>
      <c r="C55" s="6" t="s">
        <v>13</v>
      </c>
      <c r="D55" s="7" t="s">
        <v>167</v>
      </c>
      <c r="E55" s="6" t="s">
        <v>190</v>
      </c>
      <c r="F55" s="8">
        <v>11</v>
      </c>
      <c r="G55" s="8">
        <v>32.5</v>
      </c>
      <c r="H55" s="8">
        <v>201.13</v>
      </c>
      <c r="I55" s="102">
        <f t="shared" si="3"/>
        <v>6536.7249999999995</v>
      </c>
      <c r="J55" s="102">
        <f t="shared" si="0"/>
        <v>980.50874999999985</v>
      </c>
      <c r="K55" s="74">
        <f t="shared" si="1"/>
        <v>7517.2337499999994</v>
      </c>
      <c r="L55" s="75"/>
    </row>
    <row r="56" spans="1:13" x14ac:dyDescent="0.3">
      <c r="A56" s="5">
        <v>46158</v>
      </c>
      <c r="B56" s="6">
        <v>321</v>
      </c>
      <c r="C56" s="6" t="s">
        <v>13</v>
      </c>
      <c r="D56" s="7" t="s">
        <v>205</v>
      </c>
      <c r="E56" s="6" t="s">
        <v>18</v>
      </c>
      <c r="F56" s="8">
        <v>37</v>
      </c>
      <c r="G56" s="8">
        <v>450</v>
      </c>
      <c r="H56" s="8">
        <v>37</v>
      </c>
      <c r="I56" s="8">
        <f t="shared" si="3"/>
        <v>16650</v>
      </c>
      <c r="J56" s="8">
        <f t="shared" si="0"/>
        <v>2497.5</v>
      </c>
      <c r="K56" s="11">
        <f t="shared" si="1"/>
        <v>19147.5</v>
      </c>
      <c r="L56" s="12"/>
      <c r="M56" s="20"/>
    </row>
    <row r="57" spans="1:13" x14ac:dyDescent="0.3">
      <c r="A57" s="5">
        <v>46158</v>
      </c>
      <c r="B57" s="6">
        <v>321</v>
      </c>
      <c r="C57" s="6" t="s">
        <v>13</v>
      </c>
      <c r="D57" s="7" t="s">
        <v>205</v>
      </c>
      <c r="E57" s="6" t="s">
        <v>171</v>
      </c>
      <c r="F57" s="8">
        <v>252</v>
      </c>
      <c r="G57" s="8">
        <v>450</v>
      </c>
      <c r="H57" s="8">
        <v>252</v>
      </c>
      <c r="I57" s="8">
        <f t="shared" si="3"/>
        <v>113400</v>
      </c>
      <c r="J57" s="8">
        <f t="shared" si="0"/>
        <v>17010</v>
      </c>
      <c r="K57" s="11">
        <f t="shared" si="1"/>
        <v>130410</v>
      </c>
      <c r="L57" s="12"/>
      <c r="M57" s="20"/>
    </row>
    <row r="58" spans="1:13" x14ac:dyDescent="0.3">
      <c r="A58" s="5">
        <v>46158</v>
      </c>
      <c r="B58" s="6">
        <v>322</v>
      </c>
      <c r="C58" s="6" t="s">
        <v>158</v>
      </c>
      <c r="D58" s="6" t="s">
        <v>201</v>
      </c>
      <c r="E58" s="6" t="s">
        <v>132</v>
      </c>
      <c r="F58" s="8">
        <v>25</v>
      </c>
      <c r="G58" s="8">
        <v>405</v>
      </c>
      <c r="H58" s="8">
        <v>25</v>
      </c>
      <c r="I58" s="8">
        <f t="shared" si="3"/>
        <v>10125</v>
      </c>
      <c r="J58" s="8">
        <f t="shared" si="0"/>
        <v>1518.75</v>
      </c>
      <c r="K58" s="11">
        <f t="shared" si="1"/>
        <v>11643.75</v>
      </c>
      <c r="L58" s="12"/>
    </row>
    <row r="59" spans="1:13" x14ac:dyDescent="0.3">
      <c r="A59" s="5">
        <v>46158</v>
      </c>
      <c r="B59" s="6">
        <v>322</v>
      </c>
      <c r="C59" s="6" t="s">
        <v>158</v>
      </c>
      <c r="D59" s="7" t="s">
        <v>201</v>
      </c>
      <c r="E59" s="6" t="s">
        <v>189</v>
      </c>
      <c r="F59" s="8">
        <v>10</v>
      </c>
      <c r="G59" s="8">
        <v>420</v>
      </c>
      <c r="H59" s="8">
        <v>10</v>
      </c>
      <c r="I59" s="8">
        <f t="shared" si="3"/>
        <v>4200</v>
      </c>
      <c r="J59" s="8">
        <f t="shared" si="0"/>
        <v>630</v>
      </c>
      <c r="K59" s="11">
        <f t="shared" si="1"/>
        <v>4830</v>
      </c>
      <c r="L59" s="12"/>
    </row>
    <row r="60" spans="1:13" x14ac:dyDescent="0.3">
      <c r="A60" s="5">
        <v>46158</v>
      </c>
      <c r="B60" s="6">
        <v>323</v>
      </c>
      <c r="C60" s="6" t="s">
        <v>158</v>
      </c>
      <c r="D60" s="7" t="s">
        <v>206</v>
      </c>
      <c r="E60" s="7" t="s">
        <v>194</v>
      </c>
      <c r="F60" s="8">
        <v>15</v>
      </c>
      <c r="G60" s="8">
        <v>1062</v>
      </c>
      <c r="H60" s="8">
        <v>15</v>
      </c>
      <c r="I60" s="8">
        <f t="shared" si="3"/>
        <v>15930</v>
      </c>
      <c r="J60" s="8">
        <f t="shared" si="0"/>
        <v>2389.5</v>
      </c>
      <c r="K60" s="11">
        <f t="shared" si="1"/>
        <v>18319.5</v>
      </c>
      <c r="L60" s="12"/>
    </row>
    <row r="61" spans="1:13" x14ac:dyDescent="0.3">
      <c r="A61" s="5">
        <v>46158</v>
      </c>
      <c r="B61" s="6">
        <v>324</v>
      </c>
      <c r="C61" s="6" t="s">
        <v>13</v>
      </c>
      <c r="D61" s="7" t="s">
        <v>185</v>
      </c>
      <c r="E61" s="7" t="s">
        <v>30</v>
      </c>
      <c r="F61" s="8">
        <v>200</v>
      </c>
      <c r="G61" s="8">
        <v>340</v>
      </c>
      <c r="H61" s="8">
        <v>200</v>
      </c>
      <c r="I61" s="8">
        <f t="shared" si="3"/>
        <v>68000</v>
      </c>
      <c r="J61" s="8">
        <f t="shared" si="0"/>
        <v>10200</v>
      </c>
      <c r="K61" s="11">
        <f t="shared" si="1"/>
        <v>78200</v>
      </c>
      <c r="L61" s="12"/>
    </row>
    <row r="62" spans="1:13" x14ac:dyDescent="0.3">
      <c r="A62" s="5">
        <v>46158</v>
      </c>
      <c r="B62" s="6">
        <v>324</v>
      </c>
      <c r="C62" s="6" t="s">
        <v>13</v>
      </c>
      <c r="D62" s="7" t="s">
        <v>185</v>
      </c>
      <c r="E62" s="6" t="s">
        <v>189</v>
      </c>
      <c r="F62" s="8">
        <v>100</v>
      </c>
      <c r="G62" s="8">
        <v>400</v>
      </c>
      <c r="H62" s="8">
        <v>100</v>
      </c>
      <c r="I62" s="8">
        <f t="shared" si="3"/>
        <v>40000</v>
      </c>
      <c r="J62" s="8">
        <f t="shared" si="0"/>
        <v>6000</v>
      </c>
      <c r="K62" s="11">
        <f t="shared" si="1"/>
        <v>46000</v>
      </c>
      <c r="L62" s="12"/>
    </row>
    <row r="63" spans="1:13" x14ac:dyDescent="0.3">
      <c r="A63" s="5">
        <v>46158</v>
      </c>
      <c r="B63" s="6">
        <v>325</v>
      </c>
      <c r="C63" s="6" t="s">
        <v>13</v>
      </c>
      <c r="D63" s="6" t="s">
        <v>31</v>
      </c>
      <c r="E63" s="6" t="s">
        <v>207</v>
      </c>
      <c r="F63" s="8">
        <v>10</v>
      </c>
      <c r="G63" s="8">
        <v>1008</v>
      </c>
      <c r="H63" s="8">
        <v>10</v>
      </c>
      <c r="I63" s="8">
        <f t="shared" si="3"/>
        <v>10080</v>
      </c>
      <c r="J63" s="8">
        <f t="shared" si="0"/>
        <v>1512</v>
      </c>
      <c r="K63" s="11">
        <f t="shared" si="1"/>
        <v>11592</v>
      </c>
      <c r="L63" s="12"/>
    </row>
    <row r="64" spans="1:13" x14ac:dyDescent="0.3">
      <c r="A64" s="5">
        <v>46160</v>
      </c>
      <c r="B64" s="6">
        <v>326</v>
      </c>
      <c r="C64" s="6" t="s">
        <v>13</v>
      </c>
      <c r="D64" s="7" t="s">
        <v>118</v>
      </c>
      <c r="E64" s="6" t="s">
        <v>208</v>
      </c>
      <c r="F64" s="8">
        <v>100</v>
      </c>
      <c r="G64" s="8">
        <v>390</v>
      </c>
      <c r="H64" s="8">
        <v>100</v>
      </c>
      <c r="I64" s="8">
        <f t="shared" si="3"/>
        <v>39000</v>
      </c>
      <c r="J64" s="8">
        <f t="shared" si="0"/>
        <v>5850</v>
      </c>
      <c r="K64" s="11">
        <f t="shared" si="1"/>
        <v>44850</v>
      </c>
      <c r="L64" s="12"/>
    </row>
    <row r="65" spans="1:13" x14ac:dyDescent="0.3">
      <c r="A65" s="5">
        <v>46160</v>
      </c>
      <c r="B65" s="6">
        <v>327</v>
      </c>
      <c r="C65" s="6" t="s">
        <v>13</v>
      </c>
      <c r="D65" s="6" t="s">
        <v>167</v>
      </c>
      <c r="E65" s="6" t="s">
        <v>171</v>
      </c>
      <c r="F65" s="8">
        <v>25</v>
      </c>
      <c r="G65" s="8">
        <v>450</v>
      </c>
      <c r="H65" s="8">
        <v>25</v>
      </c>
      <c r="I65" s="8">
        <f t="shared" si="3"/>
        <v>11250</v>
      </c>
      <c r="J65" s="8">
        <f t="shared" si="0"/>
        <v>1687.5</v>
      </c>
      <c r="K65" s="11">
        <f t="shared" si="1"/>
        <v>12937.5</v>
      </c>
      <c r="L65" s="12"/>
      <c r="M65" s="20"/>
    </row>
    <row r="66" spans="1:13" x14ac:dyDescent="0.3">
      <c r="A66" s="5">
        <v>46161</v>
      </c>
      <c r="B66" s="6">
        <v>328</v>
      </c>
      <c r="C66" s="6" t="s">
        <v>13</v>
      </c>
      <c r="D66" s="6" t="s">
        <v>77</v>
      </c>
      <c r="E66" s="6" t="s">
        <v>30</v>
      </c>
      <c r="F66" s="8">
        <v>300</v>
      </c>
      <c r="G66" s="8">
        <v>335</v>
      </c>
      <c r="H66" s="8">
        <v>300</v>
      </c>
      <c r="I66" s="8">
        <f t="shared" si="3"/>
        <v>100500</v>
      </c>
      <c r="J66" s="8">
        <f t="shared" si="0"/>
        <v>15075</v>
      </c>
      <c r="K66" s="11">
        <f t="shared" si="1"/>
        <v>115575</v>
      </c>
      <c r="L66" s="12"/>
    </row>
    <row r="67" spans="1:13" x14ac:dyDescent="0.3">
      <c r="A67" s="5">
        <v>46161</v>
      </c>
      <c r="B67" s="6">
        <v>329</v>
      </c>
      <c r="C67" s="6" t="s">
        <v>13</v>
      </c>
      <c r="D67" s="6" t="s">
        <v>164</v>
      </c>
      <c r="E67" s="7" t="s">
        <v>16</v>
      </c>
      <c r="F67" s="8">
        <v>500</v>
      </c>
      <c r="G67" s="8">
        <v>214</v>
      </c>
      <c r="H67" s="8">
        <v>500</v>
      </c>
      <c r="I67" s="8">
        <f t="shared" si="3"/>
        <v>107000</v>
      </c>
      <c r="J67" s="8">
        <f t="shared" si="0"/>
        <v>16050</v>
      </c>
      <c r="K67" s="11">
        <f t="shared" si="1"/>
        <v>123050</v>
      </c>
      <c r="L67" s="12"/>
      <c r="M67" s="20"/>
    </row>
    <row r="68" spans="1:13" x14ac:dyDescent="0.3">
      <c r="A68" s="5">
        <v>46161</v>
      </c>
      <c r="B68" s="6">
        <v>329</v>
      </c>
      <c r="C68" s="6" t="s">
        <v>13</v>
      </c>
      <c r="D68" s="6" t="s">
        <v>164</v>
      </c>
      <c r="E68" s="6" t="s">
        <v>65</v>
      </c>
      <c r="F68" s="8">
        <v>30</v>
      </c>
      <c r="G68" s="8">
        <v>188</v>
      </c>
      <c r="H68" s="8">
        <v>30</v>
      </c>
      <c r="I68" s="8">
        <f t="shared" si="3"/>
        <v>5640</v>
      </c>
      <c r="J68" s="8">
        <f t="shared" si="0"/>
        <v>846</v>
      </c>
      <c r="K68" s="11">
        <f t="shared" si="1"/>
        <v>6486</v>
      </c>
      <c r="L68" s="12"/>
    </row>
    <row r="69" spans="1:13" x14ac:dyDescent="0.3">
      <c r="A69" s="5">
        <v>46162</v>
      </c>
      <c r="B69" s="6">
        <v>330</v>
      </c>
      <c r="C69" s="6" t="s">
        <v>13</v>
      </c>
      <c r="D69" s="6" t="s">
        <v>31</v>
      </c>
      <c r="E69" s="6" t="s">
        <v>189</v>
      </c>
      <c r="F69" s="8">
        <v>50</v>
      </c>
      <c r="G69" s="8">
        <v>375</v>
      </c>
      <c r="H69" s="8">
        <v>50</v>
      </c>
      <c r="I69" s="8">
        <f t="shared" si="3"/>
        <v>18750</v>
      </c>
      <c r="J69" s="8">
        <f t="shared" si="0"/>
        <v>2812.5</v>
      </c>
      <c r="K69" s="11">
        <f t="shared" si="1"/>
        <v>21562.5</v>
      </c>
      <c r="L69" s="12"/>
      <c r="M69" s="20"/>
    </row>
    <row r="70" spans="1:13" x14ac:dyDescent="0.3">
      <c r="A70" s="5">
        <v>46162</v>
      </c>
      <c r="B70" s="6">
        <v>331</v>
      </c>
      <c r="C70" s="6" t="s">
        <v>13</v>
      </c>
      <c r="D70" s="6" t="s">
        <v>29</v>
      </c>
      <c r="E70" s="7" t="s">
        <v>171</v>
      </c>
      <c r="F70" s="8">
        <v>15</v>
      </c>
      <c r="G70" s="8">
        <v>450</v>
      </c>
      <c r="H70" s="8">
        <v>15</v>
      </c>
      <c r="I70" s="8">
        <f t="shared" si="3"/>
        <v>6750</v>
      </c>
      <c r="J70" s="8">
        <f t="shared" si="0"/>
        <v>1012.5</v>
      </c>
      <c r="K70" s="11">
        <f t="shared" si="1"/>
        <v>7762.5</v>
      </c>
      <c r="L70" s="12"/>
      <c r="M70" s="20"/>
    </row>
    <row r="71" spans="1:13" x14ac:dyDescent="0.3">
      <c r="A71" s="5">
        <v>46162</v>
      </c>
      <c r="B71" s="6">
        <v>332</v>
      </c>
      <c r="C71" s="6" t="s">
        <v>13</v>
      </c>
      <c r="D71" s="6" t="s">
        <v>201</v>
      </c>
      <c r="E71" s="7" t="s">
        <v>132</v>
      </c>
      <c r="F71" s="8">
        <v>50</v>
      </c>
      <c r="G71" s="8">
        <v>395</v>
      </c>
      <c r="H71" s="8">
        <v>50</v>
      </c>
      <c r="I71" s="8">
        <f t="shared" si="3"/>
        <v>19750</v>
      </c>
      <c r="J71" s="8">
        <f t="shared" si="0"/>
        <v>2962.5</v>
      </c>
      <c r="K71" s="11">
        <f t="shared" si="1"/>
        <v>22712.5</v>
      </c>
      <c r="L71" s="12"/>
      <c r="M71" s="20"/>
    </row>
    <row r="72" spans="1:13" x14ac:dyDescent="0.3">
      <c r="A72" s="5">
        <v>46163</v>
      </c>
      <c r="B72" s="6">
        <v>333</v>
      </c>
      <c r="C72" s="6" t="s">
        <v>13</v>
      </c>
      <c r="D72" s="7" t="s">
        <v>202</v>
      </c>
      <c r="E72" s="7" t="s">
        <v>132</v>
      </c>
      <c r="F72" s="8">
        <v>5</v>
      </c>
      <c r="G72" s="8">
        <v>405</v>
      </c>
      <c r="H72" s="8">
        <v>5</v>
      </c>
      <c r="I72" s="8">
        <f t="shared" si="3"/>
        <v>2025</v>
      </c>
      <c r="J72" s="8">
        <f t="shared" si="0"/>
        <v>303.75</v>
      </c>
      <c r="K72" s="11">
        <f t="shared" si="1"/>
        <v>2328.75</v>
      </c>
      <c r="L72" s="12"/>
    </row>
    <row r="73" spans="1:13" x14ac:dyDescent="0.3">
      <c r="A73" s="5">
        <v>46165</v>
      </c>
      <c r="B73" s="6">
        <v>334</v>
      </c>
      <c r="C73" s="6" t="s">
        <v>13</v>
      </c>
      <c r="D73" s="6" t="s">
        <v>167</v>
      </c>
      <c r="E73" s="6" t="s">
        <v>208</v>
      </c>
      <c r="F73" s="8">
        <v>60</v>
      </c>
      <c r="G73" s="8">
        <v>390</v>
      </c>
      <c r="H73" s="8">
        <v>60</v>
      </c>
      <c r="I73" s="8">
        <f t="shared" si="3"/>
        <v>23400</v>
      </c>
      <c r="J73" s="8">
        <f t="shared" si="0"/>
        <v>3510</v>
      </c>
      <c r="K73" s="11">
        <f t="shared" si="1"/>
        <v>26910</v>
      </c>
      <c r="L73" s="12"/>
    </row>
    <row r="74" spans="1:13" x14ac:dyDescent="0.3">
      <c r="A74" s="60">
        <v>46165</v>
      </c>
      <c r="B74" s="61" t="s">
        <v>15</v>
      </c>
      <c r="C74" s="61" t="s">
        <v>13</v>
      </c>
      <c r="D74" s="61" t="s">
        <v>167</v>
      </c>
      <c r="E74" s="61" t="s">
        <v>208</v>
      </c>
      <c r="F74" s="62">
        <v>-60</v>
      </c>
      <c r="G74" s="62">
        <v>390</v>
      </c>
      <c r="H74" s="62">
        <v>-60</v>
      </c>
      <c r="I74" s="62">
        <f t="shared" si="3"/>
        <v>-23400</v>
      </c>
      <c r="J74" s="62">
        <f t="shared" si="0"/>
        <v>-3510</v>
      </c>
      <c r="K74" s="65">
        <f t="shared" si="1"/>
        <v>-26910</v>
      </c>
      <c r="L74" s="66"/>
    </row>
    <row r="75" spans="1:13" x14ac:dyDescent="0.3">
      <c r="A75" s="5">
        <v>46165</v>
      </c>
      <c r="B75" s="6">
        <v>335</v>
      </c>
      <c r="C75" s="6" t="s">
        <v>13</v>
      </c>
      <c r="D75" s="7" t="s">
        <v>185</v>
      </c>
      <c r="E75" s="6" t="s">
        <v>30</v>
      </c>
      <c r="F75" s="8">
        <v>167</v>
      </c>
      <c r="G75" s="8">
        <v>340</v>
      </c>
      <c r="H75" s="8">
        <v>167</v>
      </c>
      <c r="I75" s="8">
        <f t="shared" si="3"/>
        <v>56780</v>
      </c>
      <c r="J75" s="8">
        <f t="shared" si="0"/>
        <v>8517</v>
      </c>
      <c r="K75" s="11">
        <f t="shared" si="1"/>
        <v>65297</v>
      </c>
      <c r="L75" s="12"/>
    </row>
    <row r="76" spans="1:13" x14ac:dyDescent="0.3">
      <c r="A76" s="5">
        <v>46165</v>
      </c>
      <c r="B76" s="6">
        <v>335</v>
      </c>
      <c r="C76" s="6" t="s">
        <v>13</v>
      </c>
      <c r="D76" s="7" t="s">
        <v>185</v>
      </c>
      <c r="E76" s="6" t="s">
        <v>208</v>
      </c>
      <c r="F76" s="8">
        <v>50</v>
      </c>
      <c r="G76" s="8">
        <v>385</v>
      </c>
      <c r="H76" s="8">
        <v>50</v>
      </c>
      <c r="I76" s="8">
        <f t="shared" si="3"/>
        <v>19250</v>
      </c>
      <c r="J76" s="8">
        <f t="shared" si="0"/>
        <v>2887.5</v>
      </c>
      <c r="K76" s="11">
        <f t="shared" si="1"/>
        <v>22137.5</v>
      </c>
      <c r="L76" s="12"/>
    </row>
    <row r="77" spans="1:13" x14ac:dyDescent="0.3">
      <c r="A77" s="5">
        <v>46167</v>
      </c>
      <c r="B77" s="6">
        <v>336</v>
      </c>
      <c r="C77" s="6" t="s">
        <v>13</v>
      </c>
      <c r="D77" s="6" t="s">
        <v>164</v>
      </c>
      <c r="E77" s="7" t="s">
        <v>16</v>
      </c>
      <c r="F77" s="8">
        <v>520</v>
      </c>
      <c r="G77" s="8">
        <v>214</v>
      </c>
      <c r="H77" s="8">
        <v>520</v>
      </c>
      <c r="I77" s="8">
        <f t="shared" si="3"/>
        <v>111280</v>
      </c>
      <c r="J77" s="8">
        <f t="shared" si="0"/>
        <v>16692</v>
      </c>
      <c r="K77" s="11">
        <f t="shared" si="1"/>
        <v>127972</v>
      </c>
      <c r="L77" s="12"/>
      <c r="M77" s="20"/>
    </row>
    <row r="78" spans="1:13" x14ac:dyDescent="0.3">
      <c r="A78" s="5">
        <v>46167</v>
      </c>
      <c r="B78" s="6">
        <v>336</v>
      </c>
      <c r="C78" s="6" t="s">
        <v>13</v>
      </c>
      <c r="D78" s="6" t="s">
        <v>164</v>
      </c>
      <c r="E78" s="6" t="s">
        <v>65</v>
      </c>
      <c r="F78" s="8">
        <v>30</v>
      </c>
      <c r="G78" s="8">
        <v>180</v>
      </c>
      <c r="H78" s="8">
        <v>30</v>
      </c>
      <c r="I78" s="8">
        <f t="shared" si="3"/>
        <v>5400</v>
      </c>
      <c r="J78" s="8">
        <f t="shared" si="0"/>
        <v>810</v>
      </c>
      <c r="K78" s="11">
        <f t="shared" si="1"/>
        <v>6210</v>
      </c>
      <c r="L78" s="12"/>
    </row>
    <row r="79" spans="1:13" x14ac:dyDescent="0.3">
      <c r="A79" s="5">
        <v>46168</v>
      </c>
      <c r="B79" s="6">
        <v>337</v>
      </c>
      <c r="C79" s="6" t="s">
        <v>13</v>
      </c>
      <c r="D79" s="6" t="s">
        <v>164</v>
      </c>
      <c r="E79" s="7" t="s">
        <v>16</v>
      </c>
      <c r="F79" s="8">
        <v>350</v>
      </c>
      <c r="G79" s="8">
        <v>180</v>
      </c>
      <c r="H79" s="8">
        <v>350</v>
      </c>
      <c r="I79" s="8">
        <f t="shared" si="3"/>
        <v>63000</v>
      </c>
      <c r="J79" s="8">
        <f t="shared" si="0"/>
        <v>9450</v>
      </c>
      <c r="K79" s="11">
        <f t="shared" si="1"/>
        <v>72450</v>
      </c>
      <c r="L79" s="12"/>
    </row>
    <row r="80" spans="1:13" x14ac:dyDescent="0.3">
      <c r="A80" s="5"/>
      <c r="B80" s="6"/>
      <c r="C80" s="6"/>
      <c r="D80" s="6"/>
      <c r="E80" s="7"/>
      <c r="F80" s="8"/>
      <c r="G80" s="8"/>
      <c r="H80" s="8"/>
      <c r="I80" s="8">
        <f t="shared" si="3"/>
        <v>0</v>
      </c>
      <c r="J80" s="8">
        <f t="shared" si="0"/>
        <v>0</v>
      </c>
      <c r="K80" s="11">
        <f t="shared" si="1"/>
        <v>0</v>
      </c>
      <c r="L80" s="12"/>
    </row>
    <row r="81" spans="1:13" x14ac:dyDescent="0.3">
      <c r="A81" s="5"/>
      <c r="B81" s="6"/>
      <c r="C81" s="6"/>
      <c r="D81" s="7"/>
      <c r="E81" s="6"/>
      <c r="F81" s="8"/>
      <c r="G81" s="8"/>
      <c r="H81" s="8"/>
      <c r="I81" s="8">
        <f t="shared" si="3"/>
        <v>0</v>
      </c>
      <c r="J81" s="8">
        <f t="shared" si="0"/>
        <v>0</v>
      </c>
      <c r="K81" s="11">
        <f t="shared" si="1"/>
        <v>0</v>
      </c>
      <c r="L81" s="12"/>
    </row>
    <row r="82" spans="1:13" x14ac:dyDescent="0.3">
      <c r="A82" s="5"/>
      <c r="B82" s="6"/>
      <c r="C82" s="6"/>
      <c r="D82" s="6"/>
      <c r="E82" s="6"/>
      <c r="F82" s="8"/>
      <c r="G82" s="8"/>
      <c r="H82" s="8"/>
      <c r="I82" s="8">
        <f t="shared" si="3"/>
        <v>0</v>
      </c>
      <c r="J82" s="8">
        <f t="shared" si="0"/>
        <v>0</v>
      </c>
      <c r="K82" s="11">
        <f t="shared" si="1"/>
        <v>0</v>
      </c>
      <c r="L82" s="12"/>
    </row>
    <row r="83" spans="1:13" x14ac:dyDescent="0.3">
      <c r="A83" s="5"/>
      <c r="B83" s="6"/>
      <c r="C83" s="6"/>
      <c r="D83" s="6"/>
      <c r="E83" s="6"/>
      <c r="F83" s="8"/>
      <c r="G83" s="8"/>
      <c r="H83" s="8"/>
      <c r="I83" s="8">
        <f t="shared" si="3"/>
        <v>0</v>
      </c>
      <c r="J83" s="8">
        <f t="shared" si="0"/>
        <v>0</v>
      </c>
      <c r="K83" s="11">
        <f t="shared" si="1"/>
        <v>0</v>
      </c>
      <c r="L83" s="12"/>
    </row>
    <row r="84" spans="1:13" x14ac:dyDescent="0.3">
      <c r="A84" s="5"/>
      <c r="B84" s="6"/>
      <c r="C84" s="6"/>
      <c r="D84" s="6"/>
      <c r="E84" s="6"/>
      <c r="F84" s="8"/>
      <c r="G84" s="8"/>
      <c r="H84" s="8"/>
      <c r="I84" s="8">
        <f t="shared" si="3"/>
        <v>0</v>
      </c>
      <c r="J84" s="8">
        <f t="shared" si="0"/>
        <v>0</v>
      </c>
      <c r="K84" s="11">
        <f t="shared" si="1"/>
        <v>0</v>
      </c>
      <c r="L84" s="12"/>
    </row>
    <row r="85" spans="1:13" x14ac:dyDescent="0.3">
      <c r="A85" s="5"/>
      <c r="B85" s="6"/>
      <c r="C85" s="6"/>
      <c r="D85" s="7"/>
      <c r="E85" s="6"/>
      <c r="F85" s="8"/>
      <c r="G85" s="8"/>
      <c r="H85" s="8"/>
      <c r="I85" s="8">
        <f t="shared" si="3"/>
        <v>0</v>
      </c>
      <c r="J85" s="8">
        <f t="shared" si="0"/>
        <v>0</v>
      </c>
      <c r="K85" s="11">
        <f t="shared" si="1"/>
        <v>0</v>
      </c>
      <c r="L85" s="12"/>
      <c r="M85" s="20"/>
    </row>
    <row r="86" spans="1:13" x14ac:dyDescent="0.3">
      <c r="A86" s="5"/>
      <c r="B86" s="6"/>
      <c r="C86" s="6"/>
      <c r="D86" s="6"/>
      <c r="E86" s="6"/>
      <c r="F86" s="8"/>
      <c r="G86" s="8"/>
      <c r="H86" s="8"/>
      <c r="I86" s="8">
        <f t="shared" si="3"/>
        <v>0</v>
      </c>
      <c r="J86" s="8">
        <f t="shared" si="0"/>
        <v>0</v>
      </c>
      <c r="K86" s="11">
        <f t="shared" si="1"/>
        <v>0</v>
      </c>
      <c r="L86" s="12"/>
      <c r="M86" s="20"/>
    </row>
    <row r="87" spans="1:13" x14ac:dyDescent="0.3">
      <c r="A87" s="5"/>
      <c r="B87" s="6"/>
      <c r="C87" s="6"/>
      <c r="D87" s="6"/>
      <c r="E87" s="6"/>
      <c r="F87" s="8"/>
      <c r="G87" s="8"/>
      <c r="H87" s="8"/>
      <c r="I87" s="8">
        <f t="shared" si="3"/>
        <v>0</v>
      </c>
      <c r="J87" s="8">
        <f t="shared" si="0"/>
        <v>0</v>
      </c>
      <c r="K87" s="11">
        <f t="shared" si="1"/>
        <v>0</v>
      </c>
      <c r="L87" s="12"/>
      <c r="M87" s="20"/>
    </row>
    <row r="88" spans="1:13" x14ac:dyDescent="0.3">
      <c r="A88" s="5"/>
      <c r="B88" s="6"/>
      <c r="C88" s="6"/>
      <c r="D88" s="6"/>
      <c r="E88" s="6"/>
      <c r="F88" s="8"/>
      <c r="G88" s="8"/>
      <c r="H88" s="8"/>
      <c r="I88" s="8">
        <f t="shared" si="3"/>
        <v>0</v>
      </c>
      <c r="J88" s="8">
        <f t="shared" si="0"/>
        <v>0</v>
      </c>
      <c r="K88" s="11">
        <f t="shared" si="1"/>
        <v>0</v>
      </c>
      <c r="L88" s="12"/>
      <c r="M88" s="20"/>
    </row>
    <row r="89" spans="1:13" x14ac:dyDescent="0.3">
      <c r="A89" s="5"/>
      <c r="B89" s="6"/>
      <c r="C89" s="6"/>
      <c r="D89" s="6"/>
      <c r="E89" s="6"/>
      <c r="F89" s="8"/>
      <c r="G89" s="8"/>
      <c r="H89" s="8"/>
      <c r="I89" s="8">
        <f t="shared" si="3"/>
        <v>0</v>
      </c>
      <c r="J89" s="8">
        <f t="shared" si="0"/>
        <v>0</v>
      </c>
      <c r="K89" s="11">
        <f t="shared" si="1"/>
        <v>0</v>
      </c>
      <c r="L89" s="12"/>
      <c r="M89" s="20"/>
    </row>
    <row r="90" spans="1:13" x14ac:dyDescent="0.3">
      <c r="A90" s="5"/>
      <c r="B90" s="6"/>
      <c r="C90" s="6"/>
      <c r="D90" s="7"/>
      <c r="E90" s="6"/>
      <c r="F90" s="8"/>
      <c r="G90" s="8"/>
      <c r="H90" s="8"/>
      <c r="I90" s="8">
        <f t="shared" si="3"/>
        <v>0</v>
      </c>
      <c r="J90" s="8">
        <f t="shared" si="0"/>
        <v>0</v>
      </c>
      <c r="K90" s="11">
        <f t="shared" si="1"/>
        <v>0</v>
      </c>
      <c r="L90" s="12"/>
      <c r="M90" s="20"/>
    </row>
    <row r="91" spans="1:13" x14ac:dyDescent="0.3">
      <c r="A91" s="5"/>
      <c r="B91" s="6"/>
      <c r="C91" s="6"/>
      <c r="D91" s="6"/>
      <c r="E91" s="6"/>
      <c r="F91" s="8"/>
      <c r="G91" s="8"/>
      <c r="H91" s="8"/>
      <c r="I91" s="8">
        <f t="shared" si="3"/>
        <v>0</v>
      </c>
      <c r="J91" s="8">
        <f t="shared" si="0"/>
        <v>0</v>
      </c>
      <c r="K91" s="11">
        <f t="shared" si="1"/>
        <v>0</v>
      </c>
      <c r="L91" s="12"/>
    </row>
    <row r="92" spans="1:13" x14ac:dyDescent="0.3">
      <c r="A92" s="5"/>
      <c r="B92" s="6"/>
      <c r="C92" s="6"/>
      <c r="D92" s="6"/>
      <c r="E92" s="6"/>
      <c r="F92" s="8"/>
      <c r="G92" s="8"/>
      <c r="H92" s="8"/>
      <c r="I92" s="8">
        <f t="shared" si="3"/>
        <v>0</v>
      </c>
      <c r="J92" s="8">
        <f t="shared" si="0"/>
        <v>0</v>
      </c>
      <c r="K92" s="11">
        <f t="shared" si="1"/>
        <v>0</v>
      </c>
      <c r="L92" s="12"/>
      <c r="M92" s="20"/>
    </row>
    <row r="93" spans="1:13" x14ac:dyDescent="0.3">
      <c r="A93" s="5"/>
      <c r="B93" s="6"/>
      <c r="C93" s="6"/>
      <c r="D93" s="6"/>
      <c r="E93" s="6"/>
      <c r="F93" s="8"/>
      <c r="G93" s="8"/>
      <c r="H93" s="8"/>
      <c r="I93" s="8">
        <f t="shared" si="3"/>
        <v>0</v>
      </c>
      <c r="J93" s="8">
        <f t="shared" si="0"/>
        <v>0</v>
      </c>
      <c r="K93" s="11">
        <f t="shared" si="1"/>
        <v>0</v>
      </c>
      <c r="L93" s="12"/>
      <c r="M93" s="20"/>
    </row>
    <row r="94" spans="1:13" x14ac:dyDescent="0.3">
      <c r="A94" s="5"/>
      <c r="B94" s="6"/>
      <c r="C94" s="6"/>
      <c r="D94" s="6"/>
      <c r="E94" s="6"/>
      <c r="F94" s="8"/>
      <c r="G94" s="8"/>
      <c r="H94" s="8"/>
      <c r="I94" s="8">
        <f t="shared" si="3"/>
        <v>0</v>
      </c>
      <c r="J94" s="8">
        <f t="shared" si="0"/>
        <v>0</v>
      </c>
      <c r="K94" s="11">
        <f t="shared" si="1"/>
        <v>0</v>
      </c>
      <c r="L94" s="12"/>
      <c r="M94" s="20"/>
    </row>
    <row r="95" spans="1:13" x14ac:dyDescent="0.3">
      <c r="A95" s="5"/>
      <c r="B95" s="6"/>
      <c r="C95" s="6"/>
      <c r="D95" s="6"/>
      <c r="E95" s="6"/>
      <c r="F95" s="8"/>
      <c r="G95" s="8"/>
      <c r="H95" s="8"/>
      <c r="I95" s="8">
        <f t="shared" si="3"/>
        <v>0</v>
      </c>
      <c r="J95" s="8">
        <f t="shared" si="0"/>
        <v>0</v>
      </c>
      <c r="K95" s="11">
        <f t="shared" si="1"/>
        <v>0</v>
      </c>
      <c r="L95" s="12"/>
      <c r="M95" s="20"/>
    </row>
    <row r="96" spans="1:13" x14ac:dyDescent="0.3">
      <c r="A96" s="5"/>
      <c r="B96" s="6"/>
      <c r="C96" s="6"/>
      <c r="D96" s="6"/>
      <c r="E96" s="6"/>
      <c r="F96" s="8"/>
      <c r="G96" s="8"/>
      <c r="H96" s="8"/>
      <c r="I96" s="8">
        <f t="shared" si="3"/>
        <v>0</v>
      </c>
      <c r="J96" s="8">
        <f t="shared" si="0"/>
        <v>0</v>
      </c>
      <c r="K96" s="11">
        <f t="shared" si="1"/>
        <v>0</v>
      </c>
      <c r="L96" s="12"/>
    </row>
    <row r="97" spans="1:13" x14ac:dyDescent="0.3">
      <c r="A97" s="5"/>
      <c r="B97" s="6"/>
      <c r="C97" s="6"/>
      <c r="D97" s="6"/>
      <c r="E97" s="6"/>
      <c r="F97" s="8"/>
      <c r="G97" s="8"/>
      <c r="H97" s="8"/>
      <c r="I97" s="8">
        <f t="shared" si="3"/>
        <v>0</v>
      </c>
      <c r="J97" s="8">
        <f t="shared" si="0"/>
        <v>0</v>
      </c>
      <c r="K97" s="11">
        <f t="shared" si="1"/>
        <v>0</v>
      </c>
      <c r="L97" s="12"/>
    </row>
    <row r="98" spans="1:13" x14ac:dyDescent="0.3">
      <c r="A98" s="5"/>
      <c r="B98" s="6"/>
      <c r="C98" s="6"/>
      <c r="D98" s="6"/>
      <c r="E98" s="6"/>
      <c r="F98" s="8"/>
      <c r="G98" s="8"/>
      <c r="H98" s="8"/>
      <c r="I98" s="8">
        <f t="shared" si="3"/>
        <v>0</v>
      </c>
      <c r="J98" s="8">
        <f t="shared" si="0"/>
        <v>0</v>
      </c>
      <c r="K98" s="11">
        <f t="shared" si="1"/>
        <v>0</v>
      </c>
      <c r="L98" s="12"/>
      <c r="M98" s="20"/>
    </row>
    <row r="99" spans="1:13" x14ac:dyDescent="0.3">
      <c r="A99" s="5"/>
      <c r="B99" s="6"/>
      <c r="C99" s="6"/>
      <c r="D99" s="6"/>
      <c r="E99" s="6"/>
      <c r="F99" s="8"/>
      <c r="G99" s="8"/>
      <c r="H99" s="8"/>
      <c r="I99" s="8">
        <f t="shared" si="3"/>
        <v>0</v>
      </c>
      <c r="J99" s="8">
        <f t="shared" si="0"/>
        <v>0</v>
      </c>
      <c r="K99" s="11">
        <f t="shared" si="1"/>
        <v>0</v>
      </c>
      <c r="L99" s="12"/>
      <c r="M99" s="20"/>
    </row>
    <row r="100" spans="1:13" x14ac:dyDescent="0.3">
      <c r="A100" s="5"/>
      <c r="B100" s="6"/>
      <c r="C100" s="6"/>
      <c r="D100" s="6"/>
      <c r="E100" s="6"/>
      <c r="F100" s="8"/>
      <c r="G100" s="8"/>
      <c r="H100" s="8"/>
      <c r="I100" s="8">
        <f t="shared" si="3"/>
        <v>0</v>
      </c>
      <c r="J100" s="8">
        <f t="shared" si="0"/>
        <v>0</v>
      </c>
      <c r="K100" s="11">
        <f t="shared" si="1"/>
        <v>0</v>
      </c>
      <c r="L100" s="12"/>
      <c r="M100" s="20"/>
    </row>
    <row r="101" spans="1:13" x14ac:dyDescent="0.3">
      <c r="A101" s="5"/>
      <c r="B101" s="6"/>
      <c r="C101" s="6"/>
      <c r="D101" s="6"/>
      <c r="E101" s="6"/>
      <c r="F101" s="8"/>
      <c r="G101" s="8"/>
      <c r="H101" s="8"/>
      <c r="I101" s="8">
        <f t="shared" si="3"/>
        <v>0</v>
      </c>
      <c r="J101" s="8">
        <f t="shared" si="0"/>
        <v>0</v>
      </c>
      <c r="K101" s="11">
        <f t="shared" si="1"/>
        <v>0</v>
      </c>
      <c r="L101" s="12"/>
    </row>
    <row r="102" spans="1:13" x14ac:dyDescent="0.3">
      <c r="A102" s="5"/>
      <c r="B102" s="6"/>
      <c r="C102" s="6"/>
      <c r="D102" s="6"/>
      <c r="E102" s="6"/>
      <c r="F102" s="8"/>
      <c r="G102" s="8"/>
      <c r="H102" s="8"/>
      <c r="I102" s="8">
        <f t="shared" si="3"/>
        <v>0</v>
      </c>
      <c r="J102" s="8">
        <f t="shared" si="0"/>
        <v>0</v>
      </c>
      <c r="K102" s="11">
        <f t="shared" si="1"/>
        <v>0</v>
      </c>
      <c r="L102" s="12"/>
    </row>
    <row r="103" spans="1:13" x14ac:dyDescent="0.3">
      <c r="A103" s="5"/>
      <c r="B103" s="6"/>
      <c r="C103" s="6"/>
      <c r="D103" s="6"/>
      <c r="E103" s="6"/>
      <c r="F103" s="8"/>
      <c r="G103" s="8"/>
      <c r="H103" s="8"/>
      <c r="I103" s="8">
        <f t="shared" si="3"/>
        <v>0</v>
      </c>
      <c r="J103" s="8">
        <f t="shared" si="0"/>
        <v>0</v>
      </c>
      <c r="K103" s="11">
        <f t="shared" si="1"/>
        <v>0</v>
      </c>
      <c r="L103" s="12"/>
    </row>
    <row r="104" spans="1:13" x14ac:dyDescent="0.3">
      <c r="A104" s="5"/>
      <c r="B104" s="6"/>
      <c r="C104" s="6"/>
      <c r="D104" s="6"/>
      <c r="E104" s="6"/>
      <c r="F104" s="8"/>
      <c r="G104" s="8"/>
      <c r="H104" s="8"/>
      <c r="I104" s="8">
        <f t="shared" si="3"/>
        <v>0</v>
      </c>
      <c r="J104" s="8">
        <f t="shared" si="0"/>
        <v>0</v>
      </c>
      <c r="K104" s="11">
        <f t="shared" si="1"/>
        <v>0</v>
      </c>
      <c r="L104" s="12"/>
    </row>
    <row r="105" spans="1:13" x14ac:dyDescent="0.3">
      <c r="A105" s="5"/>
      <c r="B105" s="6"/>
      <c r="C105" s="6"/>
      <c r="D105" s="6"/>
      <c r="E105" s="6"/>
      <c r="F105" s="8"/>
      <c r="G105" s="8"/>
      <c r="H105" s="8"/>
      <c r="I105" s="8">
        <f t="shared" si="3"/>
        <v>0</v>
      </c>
      <c r="J105" s="8">
        <f t="shared" si="0"/>
        <v>0</v>
      </c>
      <c r="K105" s="11">
        <f t="shared" si="1"/>
        <v>0</v>
      </c>
      <c r="L105" s="12"/>
    </row>
    <row r="106" spans="1:13" x14ac:dyDescent="0.3">
      <c r="A106" s="5"/>
      <c r="B106" s="6"/>
      <c r="C106" s="6"/>
      <c r="D106" s="7"/>
      <c r="E106" s="6"/>
      <c r="F106" s="8"/>
      <c r="G106" s="8"/>
      <c r="H106" s="8"/>
      <c r="I106" s="8">
        <f t="shared" si="3"/>
        <v>0</v>
      </c>
      <c r="J106" s="8">
        <f t="shared" si="0"/>
        <v>0</v>
      </c>
      <c r="K106" s="11">
        <f t="shared" si="1"/>
        <v>0</v>
      </c>
      <c r="L106" s="12"/>
    </row>
    <row r="107" spans="1:13" x14ac:dyDescent="0.3">
      <c r="A107" s="5"/>
      <c r="B107" s="6"/>
      <c r="C107" s="6"/>
      <c r="D107" s="6"/>
      <c r="E107" s="6"/>
      <c r="F107" s="8"/>
      <c r="G107" s="8"/>
      <c r="H107" s="8"/>
      <c r="I107" s="8">
        <f t="shared" si="3"/>
        <v>0</v>
      </c>
      <c r="J107" s="8">
        <f t="shared" si="0"/>
        <v>0</v>
      </c>
      <c r="K107" s="11">
        <f t="shared" si="1"/>
        <v>0</v>
      </c>
      <c r="L107" s="12"/>
      <c r="M107" s="20"/>
    </row>
    <row r="108" spans="1:13" x14ac:dyDescent="0.3">
      <c r="A108" s="5"/>
      <c r="B108" s="6"/>
      <c r="C108" s="6"/>
      <c r="D108" s="6"/>
      <c r="E108" s="6"/>
      <c r="F108" s="8"/>
      <c r="G108" s="8"/>
      <c r="H108" s="8"/>
      <c r="I108" s="8">
        <f t="shared" si="3"/>
        <v>0</v>
      </c>
      <c r="J108" s="8">
        <f t="shared" si="0"/>
        <v>0</v>
      </c>
      <c r="K108" s="11">
        <f t="shared" si="1"/>
        <v>0</v>
      </c>
      <c r="L108" s="12"/>
    </row>
    <row r="109" spans="1:13" x14ac:dyDescent="0.3">
      <c r="A109" s="5"/>
      <c r="B109" s="6"/>
      <c r="C109" s="6"/>
      <c r="D109" s="6"/>
      <c r="E109" s="6"/>
      <c r="F109" s="8"/>
      <c r="G109" s="8"/>
      <c r="H109" s="8"/>
      <c r="I109" s="8">
        <f t="shared" si="3"/>
        <v>0</v>
      </c>
      <c r="J109" s="8">
        <f t="shared" si="0"/>
        <v>0</v>
      </c>
      <c r="K109" s="11">
        <f t="shared" si="1"/>
        <v>0</v>
      </c>
      <c r="L109" s="12"/>
    </row>
    <row r="110" spans="1:13" x14ac:dyDescent="0.3">
      <c r="A110" s="5"/>
      <c r="B110" s="6"/>
      <c r="C110" s="6"/>
      <c r="D110" s="6"/>
      <c r="E110" s="6"/>
      <c r="F110" s="8"/>
      <c r="G110" s="8"/>
      <c r="H110" s="8"/>
      <c r="I110" s="8">
        <f t="shared" si="3"/>
        <v>0</v>
      </c>
      <c r="J110" s="8">
        <f t="shared" si="0"/>
        <v>0</v>
      </c>
      <c r="K110" s="11">
        <f t="shared" si="1"/>
        <v>0</v>
      </c>
      <c r="L110" s="12"/>
    </row>
    <row r="111" spans="1:13" x14ac:dyDescent="0.3">
      <c r="A111" s="5"/>
      <c r="B111" s="6"/>
      <c r="C111" s="6"/>
      <c r="D111" s="6"/>
      <c r="E111" s="6"/>
      <c r="F111" s="8"/>
      <c r="G111" s="8"/>
      <c r="H111" s="8"/>
      <c r="I111" s="8">
        <f t="shared" si="3"/>
        <v>0</v>
      </c>
      <c r="J111" s="8">
        <f t="shared" si="0"/>
        <v>0</v>
      </c>
      <c r="K111" s="11">
        <f t="shared" si="1"/>
        <v>0</v>
      </c>
      <c r="L111" s="12"/>
    </row>
    <row r="112" spans="1:13" x14ac:dyDescent="0.3">
      <c r="A112" s="5"/>
      <c r="B112" s="6"/>
      <c r="C112" s="6"/>
      <c r="D112" s="6"/>
      <c r="E112" s="6"/>
      <c r="F112" s="8"/>
      <c r="G112" s="8"/>
      <c r="H112" s="8"/>
      <c r="I112" s="8">
        <f t="shared" si="3"/>
        <v>0</v>
      </c>
      <c r="J112" s="8">
        <f t="shared" si="0"/>
        <v>0</v>
      </c>
      <c r="K112" s="11">
        <f t="shared" si="1"/>
        <v>0</v>
      </c>
      <c r="L112" s="12"/>
    </row>
    <row r="113" spans="1:13" x14ac:dyDescent="0.3">
      <c r="A113" s="5"/>
      <c r="B113" s="6"/>
      <c r="C113" s="6"/>
      <c r="D113" s="6"/>
      <c r="E113" s="6"/>
      <c r="F113" s="8"/>
      <c r="G113" s="8"/>
      <c r="H113" s="8"/>
      <c r="I113" s="8">
        <f t="shared" si="3"/>
        <v>0</v>
      </c>
      <c r="J113" s="8">
        <f t="shared" si="0"/>
        <v>0</v>
      </c>
      <c r="K113" s="11">
        <f t="shared" si="1"/>
        <v>0</v>
      </c>
      <c r="L113" s="12"/>
    </row>
    <row r="114" spans="1:13" x14ac:dyDescent="0.3">
      <c r="A114" s="5"/>
      <c r="B114" s="6"/>
      <c r="C114" s="6"/>
      <c r="D114" s="6"/>
      <c r="E114" s="6"/>
      <c r="F114" s="8"/>
      <c r="G114" s="8"/>
      <c r="H114" s="8"/>
      <c r="I114" s="8">
        <f t="shared" si="3"/>
        <v>0</v>
      </c>
      <c r="J114" s="8">
        <f t="shared" si="0"/>
        <v>0</v>
      </c>
      <c r="K114" s="11">
        <f t="shared" si="1"/>
        <v>0</v>
      </c>
      <c r="L114" s="12"/>
    </row>
    <row r="115" spans="1:13" x14ac:dyDescent="0.3">
      <c r="A115" s="5"/>
      <c r="B115" s="6"/>
      <c r="C115" s="6"/>
      <c r="D115" s="6"/>
      <c r="E115" s="6"/>
      <c r="F115" s="8"/>
      <c r="G115" s="8"/>
      <c r="H115" s="8"/>
      <c r="I115" s="8">
        <f t="shared" si="3"/>
        <v>0</v>
      </c>
      <c r="J115" s="8">
        <f t="shared" si="0"/>
        <v>0</v>
      </c>
      <c r="K115" s="11">
        <f t="shared" si="1"/>
        <v>0</v>
      </c>
      <c r="L115" s="12"/>
    </row>
    <row r="116" spans="1:13" x14ac:dyDescent="0.3">
      <c r="A116" s="5"/>
      <c r="B116" s="6"/>
      <c r="C116" s="6"/>
      <c r="D116" s="6"/>
      <c r="E116" s="6"/>
      <c r="F116" s="8"/>
      <c r="G116" s="8"/>
      <c r="H116" s="8"/>
      <c r="I116" s="8">
        <f t="shared" si="3"/>
        <v>0</v>
      </c>
      <c r="J116" s="8">
        <f t="shared" si="0"/>
        <v>0</v>
      </c>
      <c r="K116" s="11">
        <f t="shared" si="1"/>
        <v>0</v>
      </c>
      <c r="L116" s="12"/>
      <c r="M116" s="20"/>
    </row>
    <row r="117" spans="1:13" x14ac:dyDescent="0.3">
      <c r="A117" s="5"/>
      <c r="B117" s="6"/>
      <c r="C117" s="6"/>
      <c r="D117" s="6"/>
      <c r="E117" s="6"/>
      <c r="F117" s="8"/>
      <c r="G117" s="8"/>
      <c r="H117" s="8"/>
      <c r="I117" s="8">
        <f t="shared" si="3"/>
        <v>0</v>
      </c>
      <c r="J117" s="8">
        <f t="shared" si="0"/>
        <v>0</v>
      </c>
      <c r="K117" s="11">
        <f t="shared" si="1"/>
        <v>0</v>
      </c>
      <c r="L117" s="12"/>
      <c r="M117" s="20"/>
    </row>
    <row r="118" spans="1:13" x14ac:dyDescent="0.3">
      <c r="A118" s="5"/>
      <c r="B118" s="6"/>
      <c r="C118" s="6"/>
      <c r="D118" s="6"/>
      <c r="E118" s="6"/>
      <c r="F118" s="8"/>
      <c r="G118" s="8"/>
      <c r="H118" s="8"/>
      <c r="I118" s="8">
        <f t="shared" si="3"/>
        <v>0</v>
      </c>
      <c r="J118" s="8">
        <f t="shared" si="0"/>
        <v>0</v>
      </c>
      <c r="K118" s="11">
        <f t="shared" si="1"/>
        <v>0</v>
      </c>
      <c r="L118" s="12"/>
    </row>
    <row r="119" spans="1:13" x14ac:dyDescent="0.3">
      <c r="A119" s="5"/>
      <c r="B119" s="6"/>
      <c r="C119" s="6"/>
      <c r="D119" s="7"/>
      <c r="E119" s="6"/>
      <c r="F119" s="8"/>
      <c r="G119" s="8"/>
      <c r="H119" s="8"/>
      <c r="I119" s="8">
        <f t="shared" si="3"/>
        <v>0</v>
      </c>
      <c r="J119" s="8">
        <f t="shared" si="0"/>
        <v>0</v>
      </c>
      <c r="K119" s="11">
        <f t="shared" si="1"/>
        <v>0</v>
      </c>
      <c r="L119" s="12"/>
    </row>
    <row r="120" spans="1:13" x14ac:dyDescent="0.3">
      <c r="A120" s="5"/>
      <c r="B120" s="6"/>
      <c r="C120" s="6"/>
      <c r="D120" s="7"/>
      <c r="E120" s="6"/>
      <c r="F120" s="8"/>
      <c r="G120" s="8"/>
      <c r="H120" s="8"/>
      <c r="I120" s="8">
        <f t="shared" si="3"/>
        <v>0</v>
      </c>
      <c r="J120" s="8">
        <f t="shared" si="0"/>
        <v>0</v>
      </c>
      <c r="K120" s="11">
        <f t="shared" si="1"/>
        <v>0</v>
      </c>
      <c r="L120" s="12"/>
      <c r="M120" s="20"/>
    </row>
    <row r="121" spans="1:13" x14ac:dyDescent="0.3">
      <c r="A121" s="5"/>
      <c r="B121" s="6"/>
      <c r="C121" s="6"/>
      <c r="D121" s="6"/>
      <c r="E121" s="6"/>
      <c r="F121" s="8"/>
      <c r="G121" s="8"/>
      <c r="H121" s="8"/>
      <c r="I121" s="8">
        <f t="shared" si="3"/>
        <v>0</v>
      </c>
      <c r="J121" s="8">
        <f t="shared" si="0"/>
        <v>0</v>
      </c>
      <c r="K121" s="11">
        <f t="shared" si="1"/>
        <v>0</v>
      </c>
      <c r="L121" s="12"/>
      <c r="M121" s="20"/>
    </row>
    <row r="122" spans="1:13" x14ac:dyDescent="0.3">
      <c r="A122" s="5"/>
      <c r="B122" s="6"/>
      <c r="C122" s="6"/>
      <c r="D122" s="6"/>
      <c r="E122" s="6"/>
      <c r="F122" s="8"/>
      <c r="G122" s="8"/>
      <c r="H122" s="8"/>
      <c r="I122" s="8">
        <f t="shared" si="3"/>
        <v>0</v>
      </c>
      <c r="J122" s="8">
        <f t="shared" si="0"/>
        <v>0</v>
      </c>
      <c r="K122" s="11">
        <f t="shared" si="1"/>
        <v>0</v>
      </c>
      <c r="L122" s="12"/>
    </row>
    <row r="123" spans="1:13" x14ac:dyDescent="0.3">
      <c r="A123" s="5"/>
      <c r="B123" s="6"/>
      <c r="C123" s="6"/>
      <c r="D123" s="6"/>
      <c r="E123" s="6"/>
      <c r="F123" s="8"/>
      <c r="G123" s="8"/>
      <c r="H123" s="8"/>
      <c r="I123" s="8">
        <f t="shared" si="3"/>
        <v>0</v>
      </c>
      <c r="J123" s="8">
        <f t="shared" si="0"/>
        <v>0</v>
      </c>
      <c r="K123" s="11">
        <f t="shared" si="1"/>
        <v>0</v>
      </c>
      <c r="L123" s="12"/>
    </row>
    <row r="124" spans="1:13" x14ac:dyDescent="0.3">
      <c r="A124" s="5"/>
      <c r="B124" s="6"/>
      <c r="C124" s="6"/>
      <c r="D124" s="7"/>
      <c r="E124" s="6"/>
      <c r="F124" s="8"/>
      <c r="G124" s="8"/>
      <c r="H124" s="8"/>
      <c r="I124" s="8">
        <f t="shared" si="3"/>
        <v>0</v>
      </c>
      <c r="J124" s="8">
        <f t="shared" si="0"/>
        <v>0</v>
      </c>
      <c r="K124" s="11">
        <f t="shared" si="1"/>
        <v>0</v>
      </c>
      <c r="L124" s="12"/>
    </row>
    <row r="125" spans="1:13" x14ac:dyDescent="0.3">
      <c r="A125" s="5"/>
      <c r="B125" s="6"/>
      <c r="C125" s="6"/>
      <c r="D125" s="6"/>
      <c r="E125" s="6"/>
      <c r="F125" s="8"/>
      <c r="G125" s="8"/>
      <c r="H125" s="8"/>
      <c r="I125" s="8">
        <f t="shared" si="3"/>
        <v>0</v>
      </c>
      <c r="J125" s="8">
        <f t="shared" si="0"/>
        <v>0</v>
      </c>
      <c r="K125" s="11">
        <f t="shared" si="1"/>
        <v>0</v>
      </c>
      <c r="L125" s="12"/>
    </row>
    <row r="126" spans="1:13" x14ac:dyDescent="0.3">
      <c r="A126" s="5"/>
      <c r="B126" s="6"/>
      <c r="C126" s="6"/>
      <c r="D126" s="6"/>
      <c r="E126" s="6"/>
      <c r="F126" s="8"/>
      <c r="G126" s="8"/>
      <c r="H126" s="8"/>
      <c r="I126" s="8">
        <f t="shared" si="3"/>
        <v>0</v>
      </c>
      <c r="J126" s="8">
        <f t="shared" si="0"/>
        <v>0</v>
      </c>
      <c r="K126" s="11">
        <f t="shared" si="1"/>
        <v>0</v>
      </c>
      <c r="L126" s="12"/>
    </row>
    <row r="127" spans="1:13" x14ac:dyDescent="0.3">
      <c r="A127" s="5"/>
      <c r="B127" s="6"/>
      <c r="C127" s="6"/>
      <c r="D127" s="6"/>
      <c r="E127" s="6"/>
      <c r="F127" s="8"/>
      <c r="G127" s="8"/>
      <c r="H127" s="8"/>
      <c r="I127" s="8">
        <f t="shared" si="3"/>
        <v>0</v>
      </c>
      <c r="J127" s="8">
        <f t="shared" si="0"/>
        <v>0</v>
      </c>
      <c r="K127" s="11">
        <f t="shared" si="1"/>
        <v>0</v>
      </c>
      <c r="L127" s="12"/>
    </row>
    <row r="128" spans="1:13" x14ac:dyDescent="0.3">
      <c r="A128" s="5"/>
      <c r="B128" s="6"/>
      <c r="C128" s="6"/>
      <c r="D128" s="6"/>
      <c r="E128" s="6"/>
      <c r="F128" s="8"/>
      <c r="G128" s="8"/>
      <c r="H128" s="8"/>
      <c r="I128" s="8">
        <f t="shared" si="3"/>
        <v>0</v>
      </c>
      <c r="J128" s="8">
        <f t="shared" si="0"/>
        <v>0</v>
      </c>
      <c r="K128" s="11">
        <f t="shared" si="1"/>
        <v>0</v>
      </c>
      <c r="L128" s="12"/>
      <c r="M128" s="20"/>
    </row>
    <row r="129" spans="1:13" x14ac:dyDescent="0.3">
      <c r="A129" s="5"/>
      <c r="B129" s="6"/>
      <c r="C129" s="6"/>
      <c r="D129" s="6"/>
      <c r="E129" s="6"/>
      <c r="F129" s="8"/>
      <c r="G129" s="8"/>
      <c r="H129" s="8"/>
      <c r="I129" s="8">
        <f t="shared" si="3"/>
        <v>0</v>
      </c>
      <c r="J129" s="8">
        <f t="shared" si="0"/>
        <v>0</v>
      </c>
      <c r="K129" s="11">
        <f t="shared" si="1"/>
        <v>0</v>
      </c>
      <c r="L129" s="12"/>
    </row>
    <row r="130" spans="1:13" x14ac:dyDescent="0.3">
      <c r="A130" s="5"/>
      <c r="B130" s="6"/>
      <c r="C130" s="6"/>
      <c r="D130" s="7"/>
      <c r="E130" s="6"/>
      <c r="F130" s="8"/>
      <c r="G130" s="8"/>
      <c r="H130" s="8"/>
      <c r="I130" s="8">
        <f t="shared" si="3"/>
        <v>0</v>
      </c>
      <c r="J130" s="8">
        <f t="shared" si="0"/>
        <v>0</v>
      </c>
      <c r="K130" s="11">
        <f t="shared" si="1"/>
        <v>0</v>
      </c>
      <c r="L130" s="12"/>
    </row>
    <row r="131" spans="1:13" x14ac:dyDescent="0.3">
      <c r="A131" s="5"/>
      <c r="B131" s="6"/>
      <c r="C131" s="6"/>
      <c r="D131" s="6"/>
      <c r="E131" s="6"/>
      <c r="F131" s="8"/>
      <c r="G131" s="8"/>
      <c r="H131" s="8"/>
      <c r="I131" s="8">
        <f t="shared" si="3"/>
        <v>0</v>
      </c>
      <c r="J131" s="8">
        <f t="shared" si="0"/>
        <v>0</v>
      </c>
      <c r="K131" s="11">
        <f t="shared" si="1"/>
        <v>0</v>
      </c>
      <c r="L131" s="12"/>
      <c r="M131" s="20"/>
    </row>
    <row r="132" spans="1:13" x14ac:dyDescent="0.3">
      <c r="A132" s="5"/>
      <c r="B132" s="6"/>
      <c r="C132" s="6"/>
      <c r="D132" s="6"/>
      <c r="E132" s="6"/>
      <c r="F132" s="8"/>
      <c r="G132" s="8"/>
      <c r="H132" s="8"/>
      <c r="I132" s="8">
        <f t="shared" si="3"/>
        <v>0</v>
      </c>
      <c r="J132" s="8">
        <f t="shared" si="0"/>
        <v>0</v>
      </c>
      <c r="K132" s="11">
        <f t="shared" si="1"/>
        <v>0</v>
      </c>
      <c r="L132" s="12"/>
      <c r="M132" s="20"/>
    </row>
    <row r="133" spans="1:13" x14ac:dyDescent="0.3">
      <c r="A133" s="5"/>
      <c r="B133" s="6"/>
      <c r="C133" s="6"/>
      <c r="D133" s="6"/>
      <c r="E133" s="6"/>
      <c r="F133" s="8"/>
      <c r="G133" s="8"/>
      <c r="H133" s="8"/>
      <c r="I133" s="8">
        <f t="shared" si="3"/>
        <v>0</v>
      </c>
      <c r="J133" s="8">
        <f t="shared" si="0"/>
        <v>0</v>
      </c>
      <c r="K133" s="11">
        <f t="shared" si="1"/>
        <v>0</v>
      </c>
      <c r="L133" s="12"/>
      <c r="M133" s="20"/>
    </row>
    <row r="134" spans="1:13" x14ac:dyDescent="0.3">
      <c r="A134" s="5"/>
      <c r="B134" s="6"/>
      <c r="C134" s="6"/>
      <c r="D134" s="6"/>
      <c r="E134" s="6"/>
      <c r="F134" s="8"/>
      <c r="G134" s="8"/>
      <c r="H134" s="8"/>
      <c r="I134" s="8">
        <f t="shared" si="3"/>
        <v>0</v>
      </c>
      <c r="J134" s="8">
        <f t="shared" si="0"/>
        <v>0</v>
      </c>
      <c r="K134" s="11">
        <f t="shared" si="1"/>
        <v>0</v>
      </c>
      <c r="L134" s="12"/>
    </row>
    <row r="135" spans="1:13" x14ac:dyDescent="0.3">
      <c r="A135" s="5"/>
      <c r="B135" s="6"/>
      <c r="C135" s="6"/>
      <c r="D135" s="6"/>
      <c r="E135" s="6"/>
      <c r="F135" s="8"/>
      <c r="G135" s="8"/>
      <c r="H135" s="8"/>
      <c r="I135" s="8">
        <f t="shared" si="3"/>
        <v>0</v>
      </c>
      <c r="J135" s="8">
        <f t="shared" si="0"/>
        <v>0</v>
      </c>
      <c r="K135" s="11">
        <f t="shared" si="1"/>
        <v>0</v>
      </c>
      <c r="L135" s="12"/>
    </row>
    <row r="136" spans="1:13" x14ac:dyDescent="0.3">
      <c r="A136" s="5"/>
      <c r="B136" s="6"/>
      <c r="C136" s="6"/>
      <c r="D136" s="6"/>
      <c r="E136" s="6"/>
      <c r="F136" s="8"/>
      <c r="G136" s="8"/>
      <c r="H136" s="8"/>
      <c r="I136" s="8">
        <f t="shared" si="3"/>
        <v>0</v>
      </c>
      <c r="J136" s="8">
        <f t="shared" si="0"/>
        <v>0</v>
      </c>
      <c r="K136" s="11">
        <f t="shared" si="1"/>
        <v>0</v>
      </c>
      <c r="L136" s="12"/>
    </row>
    <row r="137" spans="1:13" x14ac:dyDescent="0.3">
      <c r="A137" s="5"/>
      <c r="B137" s="6"/>
      <c r="C137" s="6"/>
      <c r="D137" s="7"/>
      <c r="E137" s="6"/>
      <c r="F137" s="8"/>
      <c r="G137" s="8"/>
      <c r="H137" s="8"/>
      <c r="I137" s="8">
        <f t="shared" si="3"/>
        <v>0</v>
      </c>
      <c r="J137" s="8">
        <f t="shared" si="0"/>
        <v>0</v>
      </c>
      <c r="K137" s="11">
        <f t="shared" si="1"/>
        <v>0</v>
      </c>
      <c r="L137" s="12"/>
    </row>
    <row r="138" spans="1:13" x14ac:dyDescent="0.3">
      <c r="A138" s="5"/>
      <c r="B138" s="6"/>
      <c r="C138" s="6"/>
      <c r="D138" s="7"/>
      <c r="E138" s="6"/>
      <c r="F138" s="8"/>
      <c r="G138" s="8"/>
      <c r="H138" s="8"/>
      <c r="I138" s="8">
        <f t="shared" si="3"/>
        <v>0</v>
      </c>
      <c r="J138" s="8">
        <f t="shared" si="0"/>
        <v>0</v>
      </c>
      <c r="K138" s="11">
        <f t="shared" si="1"/>
        <v>0</v>
      </c>
      <c r="L138" s="12"/>
      <c r="M138" s="20"/>
    </row>
    <row r="139" spans="1:13" x14ac:dyDescent="0.3">
      <c r="A139" s="5"/>
      <c r="B139" s="6"/>
      <c r="C139" s="6"/>
      <c r="D139" s="6"/>
      <c r="E139" s="6"/>
      <c r="F139" s="8"/>
      <c r="G139" s="8"/>
      <c r="H139" s="8"/>
      <c r="I139" s="8">
        <f t="shared" si="3"/>
        <v>0</v>
      </c>
      <c r="J139" s="8">
        <f t="shared" si="0"/>
        <v>0</v>
      </c>
      <c r="K139" s="11">
        <f t="shared" si="1"/>
        <v>0</v>
      </c>
      <c r="L139" s="12"/>
    </row>
    <row r="140" spans="1:13" x14ac:dyDescent="0.3">
      <c r="A140" s="5"/>
      <c r="B140" s="6"/>
      <c r="C140" s="6"/>
      <c r="D140" s="6"/>
      <c r="E140" s="6"/>
      <c r="F140" s="8"/>
      <c r="G140" s="8"/>
      <c r="H140" s="8"/>
      <c r="I140" s="8">
        <f t="shared" si="3"/>
        <v>0</v>
      </c>
      <c r="J140" s="8">
        <f t="shared" si="0"/>
        <v>0</v>
      </c>
      <c r="K140" s="11">
        <f t="shared" si="1"/>
        <v>0</v>
      </c>
      <c r="L140" s="12"/>
    </row>
    <row r="141" spans="1:13" x14ac:dyDescent="0.3">
      <c r="A141" s="5"/>
      <c r="B141" s="6"/>
      <c r="C141" s="6"/>
      <c r="D141" s="6"/>
      <c r="E141" s="6"/>
      <c r="F141" s="8"/>
      <c r="G141" s="8"/>
      <c r="H141" s="8"/>
      <c r="I141" s="8">
        <f t="shared" si="3"/>
        <v>0</v>
      </c>
      <c r="J141" s="8">
        <f t="shared" si="0"/>
        <v>0</v>
      </c>
      <c r="K141" s="11">
        <f t="shared" si="1"/>
        <v>0</v>
      </c>
      <c r="L141" s="12"/>
    </row>
    <row r="142" spans="1:13" x14ac:dyDescent="0.3">
      <c r="A142" s="5"/>
      <c r="B142" s="6"/>
      <c r="C142" s="6"/>
      <c r="D142" s="6"/>
      <c r="E142" s="6"/>
      <c r="F142" s="8"/>
      <c r="G142" s="8"/>
      <c r="H142" s="8"/>
      <c r="I142" s="8">
        <f t="shared" si="3"/>
        <v>0</v>
      </c>
      <c r="J142" s="8">
        <f t="shared" si="0"/>
        <v>0</v>
      </c>
      <c r="K142" s="11">
        <f t="shared" si="1"/>
        <v>0</v>
      </c>
      <c r="L142" s="12"/>
    </row>
    <row r="143" spans="1:13" x14ac:dyDescent="0.3">
      <c r="A143" s="5"/>
      <c r="B143" s="6"/>
      <c r="C143" s="6"/>
      <c r="D143" s="6"/>
      <c r="E143" s="6"/>
      <c r="F143" s="8"/>
      <c r="G143" s="8"/>
      <c r="H143" s="8"/>
      <c r="I143" s="8">
        <f t="shared" si="3"/>
        <v>0</v>
      </c>
      <c r="J143" s="8">
        <f t="shared" si="0"/>
        <v>0</v>
      </c>
      <c r="K143" s="11">
        <f t="shared" si="1"/>
        <v>0</v>
      </c>
      <c r="L143" s="12"/>
    </row>
    <row r="144" spans="1:13" x14ac:dyDescent="0.3">
      <c r="A144" s="5"/>
      <c r="B144" s="6"/>
      <c r="C144" s="6"/>
      <c r="D144" s="6"/>
      <c r="E144" s="6"/>
      <c r="F144" s="8"/>
      <c r="G144" s="8"/>
      <c r="H144" s="8"/>
      <c r="I144" s="8">
        <f t="shared" si="3"/>
        <v>0</v>
      </c>
      <c r="J144" s="8">
        <f t="shared" si="0"/>
        <v>0</v>
      </c>
      <c r="K144" s="11">
        <f t="shared" si="1"/>
        <v>0</v>
      </c>
      <c r="L144" s="12"/>
    </row>
    <row r="145" spans="1:13" x14ac:dyDescent="0.3">
      <c r="A145" s="5"/>
      <c r="B145" s="6"/>
      <c r="C145" s="6"/>
      <c r="D145" s="6"/>
      <c r="E145" s="6"/>
      <c r="F145" s="8"/>
      <c r="G145" s="8"/>
      <c r="H145" s="8"/>
      <c r="I145" s="8">
        <f t="shared" si="3"/>
        <v>0</v>
      </c>
      <c r="J145" s="8">
        <f t="shared" si="0"/>
        <v>0</v>
      </c>
      <c r="K145" s="11">
        <f t="shared" si="1"/>
        <v>0</v>
      </c>
      <c r="L145" s="12"/>
    </row>
    <row r="146" spans="1:13" x14ac:dyDescent="0.3">
      <c r="A146" s="5"/>
      <c r="B146" s="6"/>
      <c r="C146" s="6"/>
      <c r="D146" s="6"/>
      <c r="E146" s="6"/>
      <c r="F146" s="8"/>
      <c r="G146" s="8"/>
      <c r="H146" s="8"/>
      <c r="I146" s="8">
        <f t="shared" si="3"/>
        <v>0</v>
      </c>
      <c r="J146" s="8">
        <f t="shared" si="0"/>
        <v>0</v>
      </c>
      <c r="K146" s="11">
        <f t="shared" si="1"/>
        <v>0</v>
      </c>
      <c r="L146" s="12"/>
      <c r="M146" s="20"/>
    </row>
    <row r="147" spans="1:13" x14ac:dyDescent="0.3">
      <c r="A147" s="5"/>
      <c r="B147" s="6"/>
      <c r="C147" s="6"/>
      <c r="D147" s="6"/>
      <c r="E147" s="6"/>
      <c r="F147" s="8"/>
      <c r="G147" s="8"/>
      <c r="H147" s="8"/>
      <c r="I147" s="8">
        <f t="shared" si="3"/>
        <v>0</v>
      </c>
      <c r="J147" s="8">
        <f t="shared" si="0"/>
        <v>0</v>
      </c>
      <c r="K147" s="11">
        <f t="shared" si="1"/>
        <v>0</v>
      </c>
      <c r="L147" s="12"/>
    </row>
    <row r="148" spans="1:13" x14ac:dyDescent="0.3">
      <c r="A148" s="5"/>
      <c r="B148" s="6"/>
      <c r="C148" s="6"/>
      <c r="D148" s="6"/>
      <c r="E148" s="6"/>
      <c r="F148" s="8"/>
      <c r="G148" s="8"/>
      <c r="H148" s="8"/>
      <c r="I148" s="8">
        <f t="shared" si="3"/>
        <v>0</v>
      </c>
      <c r="J148" s="8">
        <f t="shared" si="0"/>
        <v>0</v>
      </c>
      <c r="K148" s="11">
        <f t="shared" si="1"/>
        <v>0</v>
      </c>
      <c r="L148" s="12"/>
    </row>
    <row r="149" spans="1:13" x14ac:dyDescent="0.3">
      <c r="A149" s="5"/>
      <c r="B149" s="6"/>
      <c r="C149" s="6"/>
      <c r="D149" s="6"/>
      <c r="E149" s="6"/>
      <c r="F149" s="8"/>
      <c r="G149" s="8"/>
      <c r="H149" s="8"/>
      <c r="I149" s="8">
        <f t="shared" si="3"/>
        <v>0</v>
      </c>
      <c r="J149" s="8">
        <f t="shared" si="0"/>
        <v>0</v>
      </c>
      <c r="K149" s="11">
        <f t="shared" si="1"/>
        <v>0</v>
      </c>
      <c r="L149" s="12"/>
    </row>
    <row r="150" spans="1:13" x14ac:dyDescent="0.3">
      <c r="A150" s="5"/>
      <c r="B150" s="6"/>
      <c r="C150" s="6"/>
      <c r="D150" s="6"/>
      <c r="E150" s="6"/>
      <c r="F150" s="8"/>
      <c r="G150" s="8"/>
      <c r="H150" s="8"/>
      <c r="I150" s="8">
        <f t="shared" si="3"/>
        <v>0</v>
      </c>
      <c r="J150" s="8">
        <f t="shared" si="0"/>
        <v>0</v>
      </c>
      <c r="K150" s="11">
        <f t="shared" si="1"/>
        <v>0</v>
      </c>
      <c r="L150" s="12"/>
    </row>
    <row r="151" spans="1:13" x14ac:dyDescent="0.3">
      <c r="A151" s="5"/>
      <c r="B151" s="6"/>
      <c r="C151" s="6"/>
      <c r="D151" s="6"/>
      <c r="E151" s="6"/>
      <c r="F151" s="8"/>
      <c r="G151" s="8"/>
      <c r="H151" s="8"/>
      <c r="I151" s="8">
        <f t="shared" si="3"/>
        <v>0</v>
      </c>
      <c r="J151" s="8">
        <f t="shared" si="0"/>
        <v>0</v>
      </c>
      <c r="K151" s="11">
        <f t="shared" si="1"/>
        <v>0</v>
      </c>
      <c r="L151" s="12"/>
    </row>
    <row r="152" spans="1:13" x14ac:dyDescent="0.3">
      <c r="A152" s="5"/>
      <c r="B152" s="6"/>
      <c r="C152" s="6"/>
      <c r="D152" s="6"/>
      <c r="E152" s="6"/>
      <c r="F152" s="8"/>
      <c r="G152" s="8"/>
      <c r="H152" s="8"/>
      <c r="I152" s="8">
        <f t="shared" si="3"/>
        <v>0</v>
      </c>
      <c r="J152" s="8">
        <f t="shared" si="0"/>
        <v>0</v>
      </c>
      <c r="K152" s="11">
        <f t="shared" si="1"/>
        <v>0</v>
      </c>
      <c r="L152" s="12"/>
    </row>
    <row r="153" spans="1:13" x14ac:dyDescent="0.3">
      <c r="A153" s="5"/>
      <c r="B153" s="6"/>
      <c r="C153" s="6"/>
      <c r="D153" s="6"/>
      <c r="E153" s="6"/>
      <c r="F153" s="8"/>
      <c r="G153" s="8"/>
      <c r="H153" s="8"/>
      <c r="I153" s="8">
        <f t="shared" si="3"/>
        <v>0</v>
      </c>
      <c r="J153" s="8">
        <f t="shared" si="0"/>
        <v>0</v>
      </c>
      <c r="K153" s="11">
        <f t="shared" si="1"/>
        <v>0</v>
      </c>
      <c r="L153" s="12"/>
    </row>
    <row r="154" spans="1:13" x14ac:dyDescent="0.3">
      <c r="A154" s="5"/>
      <c r="B154" s="6"/>
      <c r="C154" s="6"/>
      <c r="D154" s="6"/>
      <c r="E154" s="6"/>
      <c r="F154" s="8"/>
      <c r="G154" s="8"/>
      <c r="H154" s="8"/>
      <c r="I154" s="8">
        <f t="shared" si="3"/>
        <v>0</v>
      </c>
      <c r="J154" s="8">
        <f t="shared" si="0"/>
        <v>0</v>
      </c>
      <c r="K154" s="11">
        <f t="shared" si="1"/>
        <v>0</v>
      </c>
      <c r="L154" s="12"/>
    </row>
    <row r="155" spans="1:13" x14ac:dyDescent="0.3">
      <c r="A155" s="5"/>
      <c r="B155" s="6"/>
      <c r="C155" s="6"/>
      <c r="D155" s="7"/>
      <c r="E155" s="6"/>
      <c r="F155" s="8"/>
      <c r="G155" s="8"/>
      <c r="H155" s="8"/>
      <c r="I155" s="8">
        <f t="shared" si="3"/>
        <v>0</v>
      </c>
      <c r="J155" s="8">
        <f t="shared" si="0"/>
        <v>0</v>
      </c>
      <c r="K155" s="11">
        <f t="shared" si="1"/>
        <v>0</v>
      </c>
      <c r="L155" s="12"/>
    </row>
    <row r="156" spans="1:13" x14ac:dyDescent="0.3">
      <c r="A156" s="5"/>
      <c r="B156" s="6"/>
      <c r="C156" s="6"/>
      <c r="D156" s="6"/>
      <c r="E156" s="6"/>
      <c r="F156" s="8"/>
      <c r="G156" s="8"/>
      <c r="H156" s="8"/>
      <c r="I156" s="8">
        <f t="shared" si="3"/>
        <v>0</v>
      </c>
      <c r="J156" s="8">
        <f t="shared" si="0"/>
        <v>0</v>
      </c>
      <c r="K156" s="11">
        <f t="shared" si="1"/>
        <v>0</v>
      </c>
      <c r="L156" s="12"/>
    </row>
    <row r="157" spans="1:13" x14ac:dyDescent="0.3">
      <c r="A157" s="5"/>
      <c r="B157" s="6"/>
      <c r="C157" s="6"/>
      <c r="D157" s="6"/>
      <c r="E157" s="6"/>
      <c r="F157" s="8"/>
      <c r="G157" s="8"/>
      <c r="H157" s="8"/>
      <c r="I157" s="8">
        <f t="shared" si="3"/>
        <v>0</v>
      </c>
      <c r="J157" s="8">
        <f t="shared" si="0"/>
        <v>0</v>
      </c>
      <c r="K157" s="11">
        <f t="shared" si="1"/>
        <v>0</v>
      </c>
      <c r="L157" s="12"/>
    </row>
    <row r="158" spans="1:13" x14ac:dyDescent="0.3">
      <c r="A158" s="5"/>
      <c r="B158" s="6"/>
      <c r="C158" s="6"/>
      <c r="D158" s="6"/>
      <c r="E158" s="6"/>
      <c r="F158" s="8"/>
      <c r="G158" s="8"/>
      <c r="H158" s="8"/>
      <c r="I158" s="8">
        <f t="shared" si="3"/>
        <v>0</v>
      </c>
      <c r="J158" s="8">
        <f t="shared" si="0"/>
        <v>0</v>
      </c>
      <c r="K158" s="11">
        <f t="shared" si="1"/>
        <v>0</v>
      </c>
      <c r="L158" s="12"/>
    </row>
    <row r="159" spans="1:13" x14ac:dyDescent="0.3">
      <c r="A159" s="5"/>
      <c r="B159" s="6"/>
      <c r="C159" s="6"/>
      <c r="D159" s="7"/>
      <c r="E159" s="6"/>
      <c r="F159" s="8"/>
      <c r="G159" s="8"/>
      <c r="H159" s="8"/>
      <c r="I159" s="8">
        <f t="shared" si="3"/>
        <v>0</v>
      </c>
      <c r="J159" s="8">
        <f t="shared" si="0"/>
        <v>0</v>
      </c>
      <c r="K159" s="11">
        <f t="shared" si="1"/>
        <v>0</v>
      </c>
      <c r="L159" s="12"/>
    </row>
    <row r="160" spans="1:13" x14ac:dyDescent="0.3">
      <c r="A160" s="5"/>
      <c r="B160" s="6"/>
      <c r="C160" s="6"/>
      <c r="D160" s="6"/>
      <c r="E160" s="6"/>
      <c r="F160" s="8"/>
      <c r="G160" s="8"/>
      <c r="H160" s="8"/>
      <c r="I160" s="8">
        <f t="shared" si="3"/>
        <v>0</v>
      </c>
      <c r="J160" s="8">
        <f t="shared" si="0"/>
        <v>0</v>
      </c>
      <c r="K160" s="11">
        <f t="shared" si="1"/>
        <v>0</v>
      </c>
      <c r="L160" s="12"/>
    </row>
    <row r="161" spans="1:13" x14ac:dyDescent="0.3">
      <c r="A161" s="5"/>
      <c r="B161" s="6"/>
      <c r="C161" s="6"/>
      <c r="D161" s="6"/>
      <c r="E161" s="6"/>
      <c r="F161" s="8"/>
      <c r="G161" s="8"/>
      <c r="H161" s="8"/>
      <c r="I161" s="8">
        <f t="shared" si="3"/>
        <v>0</v>
      </c>
      <c r="J161" s="8">
        <f t="shared" si="0"/>
        <v>0</v>
      </c>
      <c r="K161" s="11">
        <f t="shared" si="1"/>
        <v>0</v>
      </c>
      <c r="L161" s="12"/>
      <c r="M161" s="20"/>
    </row>
    <row r="162" spans="1:13" x14ac:dyDescent="0.3">
      <c r="A162" s="5"/>
      <c r="B162" s="6"/>
      <c r="C162" s="6"/>
      <c r="D162" s="6"/>
      <c r="E162" s="6"/>
      <c r="F162" s="8"/>
      <c r="G162" s="8"/>
      <c r="H162" s="8"/>
      <c r="I162" s="8">
        <f t="shared" si="3"/>
        <v>0</v>
      </c>
      <c r="J162" s="8">
        <f t="shared" si="0"/>
        <v>0</v>
      </c>
      <c r="K162" s="11">
        <f t="shared" si="1"/>
        <v>0</v>
      </c>
      <c r="L162" s="12"/>
      <c r="M162" s="20"/>
    </row>
    <row r="163" spans="1:13" x14ac:dyDescent="0.3">
      <c r="A163" s="5"/>
      <c r="B163" s="6"/>
      <c r="C163" s="6"/>
      <c r="D163" s="6"/>
      <c r="E163" s="6"/>
      <c r="F163" s="8"/>
      <c r="G163" s="8"/>
      <c r="H163" s="8"/>
      <c r="I163" s="8">
        <f t="shared" si="3"/>
        <v>0</v>
      </c>
      <c r="J163" s="8">
        <f t="shared" si="0"/>
        <v>0</v>
      </c>
      <c r="K163" s="11">
        <f t="shared" si="1"/>
        <v>0</v>
      </c>
      <c r="L163" s="12"/>
    </row>
    <row r="164" spans="1:13" x14ac:dyDescent="0.3">
      <c r="A164" s="5"/>
      <c r="B164" s="6"/>
      <c r="C164" s="6"/>
      <c r="D164" s="6"/>
      <c r="E164" s="6"/>
      <c r="F164" s="8"/>
      <c r="G164" s="8"/>
      <c r="H164" s="8"/>
      <c r="I164" s="8">
        <f t="shared" si="3"/>
        <v>0</v>
      </c>
      <c r="J164" s="8">
        <f t="shared" si="0"/>
        <v>0</v>
      </c>
      <c r="K164" s="11">
        <f t="shared" si="1"/>
        <v>0</v>
      </c>
      <c r="L164" s="12"/>
    </row>
    <row r="165" spans="1:13" x14ac:dyDescent="0.3">
      <c r="A165" s="5"/>
      <c r="B165" s="6"/>
      <c r="C165" s="6"/>
      <c r="D165" s="6"/>
      <c r="E165" s="6"/>
      <c r="F165" s="8"/>
      <c r="G165" s="8"/>
      <c r="H165" s="8"/>
      <c r="I165" s="8">
        <f t="shared" si="3"/>
        <v>0</v>
      </c>
      <c r="J165" s="8">
        <f t="shared" si="0"/>
        <v>0</v>
      </c>
      <c r="K165" s="11">
        <f t="shared" si="1"/>
        <v>0</v>
      </c>
      <c r="L165" s="12"/>
    </row>
    <row r="166" spans="1:13" x14ac:dyDescent="0.3">
      <c r="A166" s="5"/>
      <c r="B166" s="6"/>
      <c r="C166" s="6"/>
      <c r="D166" s="6"/>
      <c r="E166" s="6"/>
      <c r="F166" s="8"/>
      <c r="G166" s="8"/>
      <c r="H166" s="8"/>
      <c r="I166" s="8">
        <f t="shared" si="3"/>
        <v>0</v>
      </c>
      <c r="J166" s="8">
        <f t="shared" si="0"/>
        <v>0</v>
      </c>
      <c r="K166" s="11">
        <f t="shared" si="1"/>
        <v>0</v>
      </c>
      <c r="L166" s="12"/>
    </row>
    <row r="167" spans="1:13" x14ac:dyDescent="0.3">
      <c r="A167" s="5"/>
      <c r="B167" s="6"/>
      <c r="C167" s="6"/>
      <c r="D167" s="6"/>
      <c r="E167" s="6"/>
      <c r="F167" s="8"/>
      <c r="G167" s="8"/>
      <c r="H167" s="8"/>
      <c r="I167" s="8">
        <f t="shared" si="3"/>
        <v>0</v>
      </c>
      <c r="J167" s="8">
        <f t="shared" si="0"/>
        <v>0</v>
      </c>
      <c r="K167" s="11">
        <f t="shared" si="1"/>
        <v>0</v>
      </c>
      <c r="L167" s="12"/>
    </row>
    <row r="168" spans="1:13" x14ac:dyDescent="0.3">
      <c r="A168" s="5"/>
      <c r="B168" s="6"/>
      <c r="C168" s="6"/>
      <c r="D168" s="6"/>
      <c r="E168" s="6"/>
      <c r="F168" s="8"/>
      <c r="G168" s="8"/>
      <c r="H168" s="8"/>
      <c r="I168" s="8">
        <f t="shared" si="3"/>
        <v>0</v>
      </c>
      <c r="J168" s="8">
        <f t="shared" si="0"/>
        <v>0</v>
      </c>
      <c r="K168" s="11">
        <f t="shared" si="1"/>
        <v>0</v>
      </c>
      <c r="L168" s="12"/>
    </row>
    <row r="169" spans="1:13" x14ac:dyDescent="0.3">
      <c r="A169" s="5"/>
      <c r="B169" s="6"/>
      <c r="C169" s="6"/>
      <c r="D169" s="6"/>
      <c r="E169" s="6"/>
      <c r="F169" s="8"/>
      <c r="G169" s="8"/>
      <c r="H169" s="8"/>
      <c r="I169" s="8">
        <f t="shared" si="3"/>
        <v>0</v>
      </c>
      <c r="J169" s="8">
        <f t="shared" si="0"/>
        <v>0</v>
      </c>
      <c r="K169" s="11">
        <f t="shared" si="1"/>
        <v>0</v>
      </c>
      <c r="L169" s="12"/>
    </row>
    <row r="170" spans="1:13" x14ac:dyDescent="0.3">
      <c r="A170" s="5"/>
      <c r="B170" s="6"/>
      <c r="C170" s="6"/>
      <c r="D170" s="6"/>
      <c r="E170" s="6"/>
      <c r="F170" s="8"/>
      <c r="G170" s="8"/>
      <c r="H170" s="8"/>
      <c r="I170" s="8">
        <f t="shared" si="3"/>
        <v>0</v>
      </c>
      <c r="J170" s="8">
        <f t="shared" si="0"/>
        <v>0</v>
      </c>
      <c r="K170" s="11">
        <f t="shared" si="1"/>
        <v>0</v>
      </c>
      <c r="L170" s="12"/>
      <c r="M170" s="20"/>
    </row>
    <row r="171" spans="1:13" x14ac:dyDescent="0.3">
      <c r="A171" s="5"/>
      <c r="B171" s="6"/>
      <c r="C171" s="6"/>
      <c r="D171" s="6"/>
      <c r="E171" s="6"/>
      <c r="F171" s="8"/>
      <c r="G171" s="8"/>
      <c r="H171" s="8"/>
      <c r="I171" s="8">
        <f t="shared" si="3"/>
        <v>0</v>
      </c>
      <c r="J171" s="8">
        <f t="shared" si="0"/>
        <v>0</v>
      </c>
      <c r="K171" s="11">
        <f t="shared" si="1"/>
        <v>0</v>
      </c>
      <c r="L171" s="12"/>
    </row>
    <row r="172" spans="1:13" x14ac:dyDescent="0.3">
      <c r="A172" s="5"/>
      <c r="B172" s="6"/>
      <c r="C172" s="6"/>
      <c r="D172" s="6"/>
      <c r="E172" s="6"/>
      <c r="F172" s="8"/>
      <c r="G172" s="8"/>
      <c r="H172" s="8"/>
      <c r="I172" s="8">
        <f t="shared" si="3"/>
        <v>0</v>
      </c>
      <c r="J172" s="8">
        <f t="shared" si="0"/>
        <v>0</v>
      </c>
      <c r="K172" s="11">
        <f t="shared" si="1"/>
        <v>0</v>
      </c>
      <c r="L172" s="12"/>
    </row>
    <row r="173" spans="1:13" x14ac:dyDescent="0.3">
      <c r="A173" s="5"/>
      <c r="B173" s="6"/>
      <c r="C173" s="6"/>
      <c r="D173" s="6"/>
      <c r="E173" s="6"/>
      <c r="F173" s="8"/>
      <c r="G173" s="8"/>
      <c r="H173" s="8"/>
      <c r="I173" s="8">
        <f t="shared" si="3"/>
        <v>0</v>
      </c>
      <c r="J173" s="8">
        <f t="shared" si="0"/>
        <v>0</v>
      </c>
      <c r="K173" s="11">
        <f t="shared" si="1"/>
        <v>0</v>
      </c>
      <c r="L173" s="12"/>
    </row>
    <row r="174" spans="1:13" x14ac:dyDescent="0.3">
      <c r="A174" s="5"/>
      <c r="B174" s="6"/>
      <c r="C174" s="6"/>
      <c r="D174" s="6"/>
      <c r="E174" s="6"/>
      <c r="F174" s="8"/>
      <c r="G174" s="8"/>
      <c r="H174" s="8"/>
      <c r="I174" s="8">
        <f t="shared" si="3"/>
        <v>0</v>
      </c>
      <c r="J174" s="8">
        <f t="shared" si="0"/>
        <v>0</v>
      </c>
      <c r="K174" s="11">
        <f t="shared" si="1"/>
        <v>0</v>
      </c>
      <c r="L174" s="12"/>
    </row>
    <row r="175" spans="1:13" x14ac:dyDescent="0.3">
      <c r="A175" s="5"/>
      <c r="B175" s="6"/>
      <c r="C175" s="6"/>
      <c r="D175" s="6"/>
      <c r="E175" s="6"/>
      <c r="F175" s="8"/>
      <c r="G175" s="8"/>
      <c r="H175" s="8"/>
      <c r="I175" s="8">
        <f t="shared" si="3"/>
        <v>0</v>
      </c>
      <c r="J175" s="8">
        <f t="shared" si="0"/>
        <v>0</v>
      </c>
      <c r="K175" s="11">
        <f t="shared" si="1"/>
        <v>0</v>
      </c>
      <c r="L175" s="12"/>
    </row>
    <row r="176" spans="1:13" x14ac:dyDescent="0.3">
      <c r="A176" s="5"/>
      <c r="B176" s="6"/>
      <c r="C176" s="6"/>
      <c r="D176" s="6"/>
      <c r="E176" s="6"/>
      <c r="F176" s="8"/>
      <c r="G176" s="8"/>
      <c r="H176" s="8"/>
      <c r="I176" s="8">
        <f t="shared" si="3"/>
        <v>0</v>
      </c>
      <c r="J176" s="8">
        <f t="shared" si="0"/>
        <v>0</v>
      </c>
      <c r="K176" s="11">
        <f t="shared" si="1"/>
        <v>0</v>
      </c>
      <c r="L176" s="12"/>
    </row>
    <row r="177" spans="1:12" x14ac:dyDescent="0.3">
      <c r="A177" s="5"/>
      <c r="B177" s="6"/>
      <c r="C177" s="6"/>
      <c r="D177" s="6"/>
      <c r="E177" s="6"/>
      <c r="F177" s="8"/>
      <c r="G177" s="8"/>
      <c r="H177" s="8"/>
      <c r="I177" s="8">
        <f t="shared" si="3"/>
        <v>0</v>
      </c>
      <c r="J177" s="8">
        <f t="shared" si="0"/>
        <v>0</v>
      </c>
      <c r="K177" s="11">
        <f t="shared" si="1"/>
        <v>0</v>
      </c>
      <c r="L177" s="12"/>
    </row>
    <row r="178" spans="1:12" x14ac:dyDescent="0.3">
      <c r="A178" s="5"/>
      <c r="B178" s="6"/>
      <c r="C178" s="6"/>
      <c r="D178" s="6"/>
      <c r="E178" s="6"/>
      <c r="F178" s="8"/>
      <c r="G178" s="8"/>
      <c r="H178" s="8"/>
      <c r="I178" s="8">
        <f t="shared" si="3"/>
        <v>0</v>
      </c>
      <c r="J178" s="8">
        <f t="shared" si="0"/>
        <v>0</v>
      </c>
      <c r="K178" s="11">
        <f t="shared" si="1"/>
        <v>0</v>
      </c>
      <c r="L178" s="12"/>
    </row>
    <row r="179" spans="1:12" x14ac:dyDescent="0.3">
      <c r="A179" s="5"/>
      <c r="B179" s="6"/>
      <c r="C179" s="6"/>
      <c r="D179" s="6"/>
      <c r="E179" s="6"/>
      <c r="F179" s="8"/>
      <c r="G179" s="8"/>
      <c r="H179" s="8"/>
      <c r="I179" s="8">
        <f t="shared" si="3"/>
        <v>0</v>
      </c>
      <c r="J179" s="8">
        <f t="shared" si="0"/>
        <v>0</v>
      </c>
      <c r="K179" s="11">
        <f t="shared" si="1"/>
        <v>0</v>
      </c>
      <c r="L179" s="12"/>
    </row>
    <row r="180" spans="1:12" x14ac:dyDescent="0.3">
      <c r="A180" s="14"/>
      <c r="B180" s="6"/>
      <c r="C180" s="6"/>
      <c r="D180" s="6"/>
      <c r="E180" s="6"/>
      <c r="F180" s="15">
        <f>SUBTOTAL(9,F3:F179)</f>
        <v>7364</v>
      </c>
      <c r="G180" s="15"/>
      <c r="H180" s="15">
        <f>SUBTOTAL(9,H3:H179)</f>
        <v>55880.83</v>
      </c>
      <c r="I180" s="15">
        <f>SUBTOTAL(9,I3:I179)</f>
        <v>3100312.4350000001</v>
      </c>
      <c r="J180" s="15">
        <f>SUBTOTAL(9,J3:J179)</f>
        <v>465046.86524999997</v>
      </c>
      <c r="K180" s="15">
        <f>SUBTOTAL(9,K3:K179)</f>
        <v>3565359.3002500003</v>
      </c>
      <c r="L180" s="16"/>
    </row>
    <row r="183" spans="1:12" x14ac:dyDescent="0.3">
      <c r="K183" s="57"/>
    </row>
  </sheetData>
  <autoFilter ref="A2:M179" xr:uid="{779CDCA7-6E06-4BDB-B726-060CCD7BA20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rightToLeft="1" zoomScaleNormal="100" workbookViewId="0">
      <pane ySplit="2" topLeftCell="A164" activePane="bottomLeft" state="frozen"/>
      <selection pane="bottomLeft" activeCell="D71" sqref="D71"/>
    </sheetView>
  </sheetViews>
  <sheetFormatPr defaultRowHeight="14.4" x14ac:dyDescent="0.3"/>
  <cols>
    <col min="1" max="1" width="11.6640625" bestFit="1" customWidth="1"/>
    <col min="2" max="2" width="10.6640625" customWidth="1"/>
    <col min="3" max="3" width="7.44140625" customWidth="1"/>
    <col min="4" max="4" width="34.77734375" bestFit="1" customWidth="1"/>
    <col min="5" max="5" width="21.5546875" bestFit="1" customWidth="1"/>
    <col min="6" max="6" width="10.109375" bestFit="1" customWidth="1"/>
    <col min="7" max="7" width="13.33203125" bestFit="1" customWidth="1"/>
    <col min="8" max="8" width="10.77734375" customWidth="1"/>
    <col min="9" max="9" width="12.77734375" bestFit="1" customWidth="1"/>
    <col min="10" max="10" width="11.6640625" bestFit="1" customWidth="1"/>
    <col min="11" max="11" width="12.6640625" bestFit="1" customWidth="1"/>
    <col min="12" max="12" width="19.109375" bestFit="1" customWidth="1"/>
    <col min="13" max="13" width="22.5546875" customWidth="1"/>
  </cols>
  <sheetData>
    <row r="1" spans="1:13" ht="15.6" x14ac:dyDescent="0.3">
      <c r="H1" s="1" t="s">
        <v>128</v>
      </c>
      <c r="I1" s="2"/>
      <c r="J1" s="2"/>
      <c r="K1" s="2"/>
      <c r="L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</row>
    <row r="3" spans="1:13" x14ac:dyDescent="0.3">
      <c r="A3" s="5">
        <v>46113</v>
      </c>
      <c r="B3" s="6">
        <v>201</v>
      </c>
      <c r="C3" s="6" t="s">
        <v>13</v>
      </c>
      <c r="D3" s="6" t="s">
        <v>19</v>
      </c>
      <c r="E3" s="7" t="s">
        <v>28</v>
      </c>
      <c r="F3" s="8">
        <v>25</v>
      </c>
      <c r="G3" s="8">
        <v>420</v>
      </c>
      <c r="H3" s="8">
        <v>25</v>
      </c>
      <c r="I3" s="8">
        <f>H3*G3</f>
        <v>10500</v>
      </c>
      <c r="J3" s="7">
        <f t="shared" ref="J3:J182" si="0">I3*15%</f>
        <v>1575</v>
      </c>
      <c r="K3" s="18">
        <f t="shared" ref="K3:K182" si="1">I3+J3</f>
        <v>12075</v>
      </c>
      <c r="L3" s="19"/>
      <c r="M3" s="20"/>
    </row>
    <row r="4" spans="1:13" x14ac:dyDescent="0.3">
      <c r="A4" s="5">
        <v>46113</v>
      </c>
      <c r="B4" s="6">
        <v>201</v>
      </c>
      <c r="C4" s="6" t="s">
        <v>13</v>
      </c>
      <c r="D4" s="6" t="s">
        <v>19</v>
      </c>
      <c r="E4" s="6" t="s">
        <v>14</v>
      </c>
      <c r="F4" s="8">
        <v>25</v>
      </c>
      <c r="G4" s="8">
        <v>420</v>
      </c>
      <c r="H4" s="8">
        <v>25</v>
      </c>
      <c r="I4" s="8">
        <f>H4*G4</f>
        <v>10500</v>
      </c>
      <c r="J4" s="7">
        <f t="shared" si="0"/>
        <v>1575</v>
      </c>
      <c r="K4" s="18">
        <f t="shared" si="1"/>
        <v>12075</v>
      </c>
      <c r="L4" s="21"/>
      <c r="M4" s="20"/>
    </row>
    <row r="5" spans="1:13" x14ac:dyDescent="0.3">
      <c r="A5" s="60">
        <v>46114</v>
      </c>
      <c r="B5" s="61" t="s">
        <v>15</v>
      </c>
      <c r="C5" s="61" t="s">
        <v>13</v>
      </c>
      <c r="D5" s="61" t="s">
        <v>19</v>
      </c>
      <c r="E5" s="50" t="s">
        <v>28</v>
      </c>
      <c r="F5" s="62">
        <v>-25</v>
      </c>
      <c r="G5" s="62">
        <v>420</v>
      </c>
      <c r="H5" s="62">
        <v>-25</v>
      </c>
      <c r="I5" s="62">
        <f t="shared" ref="I5:I6" si="2">H5*G5</f>
        <v>-10500</v>
      </c>
      <c r="J5" s="50">
        <f t="shared" si="0"/>
        <v>-1575</v>
      </c>
      <c r="K5" s="63">
        <f t="shared" si="1"/>
        <v>-12075</v>
      </c>
      <c r="L5" s="64"/>
      <c r="M5" s="20"/>
    </row>
    <row r="6" spans="1:13" x14ac:dyDescent="0.3">
      <c r="A6" s="60">
        <v>46114</v>
      </c>
      <c r="B6" s="61" t="s">
        <v>15</v>
      </c>
      <c r="C6" s="61" t="s">
        <v>13</v>
      </c>
      <c r="D6" s="61" t="s">
        <v>19</v>
      </c>
      <c r="E6" s="61" t="s">
        <v>14</v>
      </c>
      <c r="F6" s="62">
        <v>-25</v>
      </c>
      <c r="G6" s="62">
        <v>420</v>
      </c>
      <c r="H6" s="62">
        <v>-25</v>
      </c>
      <c r="I6" s="62">
        <f t="shared" si="2"/>
        <v>-10500</v>
      </c>
      <c r="J6" s="50">
        <f t="shared" si="0"/>
        <v>-1575</v>
      </c>
      <c r="K6" s="63">
        <f t="shared" si="1"/>
        <v>-12075</v>
      </c>
      <c r="L6" s="64"/>
      <c r="M6" s="20"/>
    </row>
    <row r="7" spans="1:13" x14ac:dyDescent="0.3">
      <c r="A7" s="5">
        <v>46113</v>
      </c>
      <c r="B7" s="6">
        <v>202</v>
      </c>
      <c r="C7" s="6" t="s">
        <v>13</v>
      </c>
      <c r="D7" s="6" t="s">
        <v>29</v>
      </c>
      <c r="E7" s="7" t="s">
        <v>30</v>
      </c>
      <c r="F7" s="8">
        <v>24</v>
      </c>
      <c r="G7" s="8">
        <v>330</v>
      </c>
      <c r="H7" s="8">
        <v>24</v>
      </c>
      <c r="I7" s="8">
        <f>H7*G7</f>
        <v>7920</v>
      </c>
      <c r="J7" s="7">
        <f t="shared" si="0"/>
        <v>1188</v>
      </c>
      <c r="K7" s="58">
        <f t="shared" si="1"/>
        <v>9108</v>
      </c>
      <c r="L7" s="59"/>
      <c r="M7" s="20"/>
    </row>
    <row r="8" spans="1:13" x14ac:dyDescent="0.3">
      <c r="A8" s="5">
        <v>46113</v>
      </c>
      <c r="B8" s="6">
        <v>202</v>
      </c>
      <c r="C8" s="6" t="s">
        <v>13</v>
      </c>
      <c r="D8" s="6" t="s">
        <v>29</v>
      </c>
      <c r="E8" s="6" t="s">
        <v>18</v>
      </c>
      <c r="F8" s="8">
        <v>2</v>
      </c>
      <c r="G8" s="8">
        <v>440</v>
      </c>
      <c r="H8" s="8">
        <v>2</v>
      </c>
      <c r="I8" s="8">
        <f>H8*G8</f>
        <v>880</v>
      </c>
      <c r="J8" s="7">
        <f t="shared" si="0"/>
        <v>132</v>
      </c>
      <c r="K8" s="58">
        <f t="shared" si="1"/>
        <v>1012</v>
      </c>
      <c r="L8" s="59"/>
      <c r="M8" s="20"/>
    </row>
    <row r="9" spans="1:13" x14ac:dyDescent="0.3">
      <c r="A9" s="5">
        <v>46113</v>
      </c>
      <c r="B9" s="6">
        <v>203</v>
      </c>
      <c r="C9" s="6" t="s">
        <v>13</v>
      </c>
      <c r="D9" s="6" t="s">
        <v>31</v>
      </c>
      <c r="E9" s="6" t="s">
        <v>24</v>
      </c>
      <c r="F9" s="8">
        <v>31</v>
      </c>
      <c r="G9" s="8">
        <v>936</v>
      </c>
      <c r="H9" s="8">
        <v>31</v>
      </c>
      <c r="I9" s="8">
        <f>H9*G9</f>
        <v>29016</v>
      </c>
      <c r="J9" s="7">
        <f t="shared" si="0"/>
        <v>4352.3999999999996</v>
      </c>
      <c r="K9" s="58">
        <f t="shared" si="1"/>
        <v>33368.400000000001</v>
      </c>
      <c r="L9" s="59"/>
      <c r="M9" s="20"/>
    </row>
    <row r="10" spans="1:13" x14ac:dyDescent="0.3">
      <c r="A10" s="5">
        <v>46113</v>
      </c>
      <c r="B10" s="7">
        <v>204</v>
      </c>
      <c r="C10" s="6" t="s">
        <v>13</v>
      </c>
      <c r="D10" s="6" t="s">
        <v>29</v>
      </c>
      <c r="E10" s="6" t="s">
        <v>111</v>
      </c>
      <c r="F10" s="7">
        <v>80</v>
      </c>
      <c r="G10" s="7">
        <v>425</v>
      </c>
      <c r="H10" s="7">
        <v>80</v>
      </c>
      <c r="I10" s="7">
        <f t="shared" ref="I10:I182" si="3">H10*G10</f>
        <v>34000</v>
      </c>
      <c r="J10" s="7">
        <f t="shared" si="0"/>
        <v>5100</v>
      </c>
      <c r="K10" s="18">
        <f t="shared" si="1"/>
        <v>39100</v>
      </c>
      <c r="L10" s="21"/>
    </row>
    <row r="11" spans="1:13" x14ac:dyDescent="0.3">
      <c r="A11" s="60">
        <v>46117</v>
      </c>
      <c r="B11" s="61" t="s">
        <v>15</v>
      </c>
      <c r="C11" s="61" t="s">
        <v>13</v>
      </c>
      <c r="D11" s="61" t="s">
        <v>29</v>
      </c>
      <c r="E11" s="61" t="s">
        <v>111</v>
      </c>
      <c r="F11" s="61">
        <v>-80</v>
      </c>
      <c r="G11" s="61">
        <v>425</v>
      </c>
      <c r="H11" s="61">
        <v>-80</v>
      </c>
      <c r="I11" s="61">
        <f t="shared" si="3"/>
        <v>-34000</v>
      </c>
      <c r="J11" s="61">
        <f t="shared" si="0"/>
        <v>-5100</v>
      </c>
      <c r="K11" s="65">
        <f t="shared" si="1"/>
        <v>-39100</v>
      </c>
      <c r="L11" s="66"/>
    </row>
    <row r="12" spans="1:13" x14ac:dyDescent="0.3">
      <c r="A12" s="5">
        <v>46113</v>
      </c>
      <c r="B12" s="6">
        <v>205</v>
      </c>
      <c r="C12" s="6" t="s">
        <v>13</v>
      </c>
      <c r="D12" s="6" t="s">
        <v>112</v>
      </c>
      <c r="E12" s="6" t="s">
        <v>116</v>
      </c>
      <c r="F12" s="6">
        <v>1</v>
      </c>
      <c r="G12" s="6">
        <v>340</v>
      </c>
      <c r="H12" s="6">
        <v>1</v>
      </c>
      <c r="I12" s="6">
        <f t="shared" si="3"/>
        <v>340</v>
      </c>
      <c r="J12" s="6">
        <f t="shared" si="0"/>
        <v>51</v>
      </c>
      <c r="K12" s="11">
        <f t="shared" si="1"/>
        <v>391</v>
      </c>
      <c r="L12" s="16"/>
    </row>
    <row r="13" spans="1:13" x14ac:dyDescent="0.3">
      <c r="A13" s="5">
        <v>46113</v>
      </c>
      <c r="B13" s="6">
        <v>205</v>
      </c>
      <c r="C13" s="6" t="s">
        <v>13</v>
      </c>
      <c r="D13" s="6" t="s">
        <v>112</v>
      </c>
      <c r="E13" s="6" t="s">
        <v>113</v>
      </c>
      <c r="F13" s="6">
        <v>1</v>
      </c>
      <c r="G13" s="6">
        <v>430</v>
      </c>
      <c r="H13" s="6">
        <v>1</v>
      </c>
      <c r="I13" s="6">
        <f t="shared" si="3"/>
        <v>430</v>
      </c>
      <c r="J13" s="6">
        <f t="shared" si="0"/>
        <v>64.5</v>
      </c>
      <c r="K13" s="11">
        <f t="shared" si="1"/>
        <v>494.5</v>
      </c>
      <c r="L13" s="12"/>
      <c r="M13" s="20"/>
    </row>
    <row r="14" spans="1:13" x14ac:dyDescent="0.3">
      <c r="A14" s="5">
        <v>46113</v>
      </c>
      <c r="B14" s="6">
        <v>205</v>
      </c>
      <c r="C14" s="6" t="s">
        <v>13</v>
      </c>
      <c r="D14" s="6" t="s">
        <v>112</v>
      </c>
      <c r="E14" s="7" t="s">
        <v>88</v>
      </c>
      <c r="F14" s="7">
        <v>1</v>
      </c>
      <c r="G14" s="7">
        <v>30</v>
      </c>
      <c r="H14" s="6">
        <v>24.13</v>
      </c>
      <c r="I14" s="7">
        <f t="shared" si="3"/>
        <v>723.9</v>
      </c>
      <c r="J14" s="6">
        <f t="shared" si="0"/>
        <v>108.58499999999999</v>
      </c>
      <c r="K14" s="11">
        <f t="shared" si="1"/>
        <v>832.48500000000001</v>
      </c>
      <c r="L14" s="21"/>
      <c r="M14" s="20"/>
    </row>
    <row r="15" spans="1:13" x14ac:dyDescent="0.3">
      <c r="A15" s="5">
        <v>46114</v>
      </c>
      <c r="B15" s="7">
        <v>206</v>
      </c>
      <c r="C15" s="6" t="s">
        <v>13</v>
      </c>
      <c r="D15" s="6" t="s">
        <v>31</v>
      </c>
      <c r="E15" s="7" t="s">
        <v>114</v>
      </c>
      <c r="F15" s="7">
        <v>123</v>
      </c>
      <c r="G15" s="7">
        <v>335</v>
      </c>
      <c r="H15" s="7">
        <v>123</v>
      </c>
      <c r="I15" s="7">
        <f t="shared" si="3"/>
        <v>41205</v>
      </c>
      <c r="J15" s="6">
        <f t="shared" si="0"/>
        <v>6180.75</v>
      </c>
      <c r="K15" s="58">
        <f t="shared" si="1"/>
        <v>47385.75</v>
      </c>
      <c r="L15" s="59"/>
      <c r="M15" s="20"/>
    </row>
    <row r="16" spans="1:13" x14ac:dyDescent="0.3">
      <c r="A16" s="5">
        <v>46114</v>
      </c>
      <c r="B16" s="7">
        <v>206</v>
      </c>
      <c r="C16" s="6" t="s">
        <v>13</v>
      </c>
      <c r="D16" s="6" t="s">
        <v>31</v>
      </c>
      <c r="E16" s="6" t="s">
        <v>115</v>
      </c>
      <c r="F16" s="7">
        <v>600</v>
      </c>
      <c r="G16" s="7">
        <v>338</v>
      </c>
      <c r="H16" s="7">
        <v>600</v>
      </c>
      <c r="I16" s="7">
        <f t="shared" si="3"/>
        <v>202800</v>
      </c>
      <c r="J16" s="6">
        <f t="shared" si="0"/>
        <v>30420</v>
      </c>
      <c r="K16" s="58">
        <f t="shared" si="1"/>
        <v>233220</v>
      </c>
      <c r="L16" s="59"/>
      <c r="M16" s="20"/>
    </row>
    <row r="17" spans="1:13" x14ac:dyDescent="0.3">
      <c r="A17" s="5">
        <v>46114</v>
      </c>
      <c r="B17" s="7">
        <v>206</v>
      </c>
      <c r="C17" s="6" t="s">
        <v>13</v>
      </c>
      <c r="D17" s="6" t="s">
        <v>31</v>
      </c>
      <c r="E17" s="7" t="s">
        <v>116</v>
      </c>
      <c r="F17" s="7">
        <v>96</v>
      </c>
      <c r="G17" s="7">
        <v>340</v>
      </c>
      <c r="H17" s="7">
        <v>96</v>
      </c>
      <c r="I17" s="7">
        <f t="shared" si="3"/>
        <v>32640</v>
      </c>
      <c r="J17" s="6">
        <f t="shared" si="0"/>
        <v>4896</v>
      </c>
      <c r="K17" s="58">
        <f t="shared" si="1"/>
        <v>37536</v>
      </c>
      <c r="L17" s="59"/>
      <c r="M17" s="20"/>
    </row>
    <row r="18" spans="1:13" x14ac:dyDescent="0.3">
      <c r="A18" s="5">
        <v>46114</v>
      </c>
      <c r="B18" s="7">
        <v>207</v>
      </c>
      <c r="C18" s="6" t="s">
        <v>13</v>
      </c>
      <c r="D18" s="6" t="s">
        <v>117</v>
      </c>
      <c r="E18" s="6" t="s">
        <v>115</v>
      </c>
      <c r="F18" s="7">
        <v>730</v>
      </c>
      <c r="G18" s="7">
        <v>345</v>
      </c>
      <c r="H18" s="7">
        <v>730</v>
      </c>
      <c r="I18" s="7">
        <f t="shared" si="3"/>
        <v>251850</v>
      </c>
      <c r="J18" s="6">
        <f t="shared" si="0"/>
        <v>37777.5</v>
      </c>
      <c r="K18" s="58">
        <f t="shared" si="1"/>
        <v>289627.5</v>
      </c>
      <c r="L18" s="59"/>
      <c r="M18" s="20"/>
    </row>
    <row r="19" spans="1:13" x14ac:dyDescent="0.3">
      <c r="A19" s="5">
        <v>46114</v>
      </c>
      <c r="B19" s="7">
        <v>207</v>
      </c>
      <c r="C19" s="6" t="s">
        <v>13</v>
      </c>
      <c r="D19" s="6" t="s">
        <v>117</v>
      </c>
      <c r="E19" s="7" t="s">
        <v>114</v>
      </c>
      <c r="F19" s="7">
        <v>100</v>
      </c>
      <c r="G19" s="7">
        <v>340</v>
      </c>
      <c r="H19" s="7">
        <v>100</v>
      </c>
      <c r="I19" s="7">
        <f t="shared" si="3"/>
        <v>34000</v>
      </c>
      <c r="J19" s="6">
        <f t="shared" si="0"/>
        <v>5100</v>
      </c>
      <c r="K19" s="58">
        <f t="shared" si="1"/>
        <v>39100</v>
      </c>
      <c r="L19" s="59"/>
      <c r="M19" s="20"/>
    </row>
    <row r="20" spans="1:13" x14ac:dyDescent="0.3">
      <c r="A20" s="5">
        <v>46114</v>
      </c>
      <c r="B20" s="7">
        <v>207</v>
      </c>
      <c r="C20" s="6" t="s">
        <v>13</v>
      </c>
      <c r="D20" s="6" t="s">
        <v>117</v>
      </c>
      <c r="E20" s="7" t="s">
        <v>30</v>
      </c>
      <c r="F20" s="7">
        <v>520</v>
      </c>
      <c r="G20" s="7">
        <v>350</v>
      </c>
      <c r="H20" s="7">
        <v>520</v>
      </c>
      <c r="I20" s="7">
        <f t="shared" si="3"/>
        <v>182000</v>
      </c>
      <c r="J20" s="6">
        <f t="shared" si="0"/>
        <v>27300</v>
      </c>
      <c r="K20" s="58">
        <f t="shared" si="1"/>
        <v>209300</v>
      </c>
      <c r="L20" s="59"/>
      <c r="M20" s="20"/>
    </row>
    <row r="21" spans="1:13" x14ac:dyDescent="0.3">
      <c r="A21" s="5">
        <v>46114</v>
      </c>
      <c r="B21" s="7">
        <v>207</v>
      </c>
      <c r="C21" s="6" t="s">
        <v>13</v>
      </c>
      <c r="D21" s="6" t="s">
        <v>117</v>
      </c>
      <c r="E21" s="6" t="s">
        <v>138</v>
      </c>
      <c r="F21" s="7">
        <v>30</v>
      </c>
      <c r="G21" s="7">
        <v>684</v>
      </c>
      <c r="H21" s="7">
        <v>30</v>
      </c>
      <c r="I21" s="7">
        <f t="shared" si="3"/>
        <v>20520</v>
      </c>
      <c r="J21" s="6">
        <f t="shared" si="0"/>
        <v>3078</v>
      </c>
      <c r="K21" s="58">
        <f t="shared" si="1"/>
        <v>23598</v>
      </c>
      <c r="L21" s="59"/>
      <c r="M21" s="20"/>
    </row>
    <row r="22" spans="1:13" x14ac:dyDescent="0.3">
      <c r="A22" s="5">
        <v>46114</v>
      </c>
      <c r="B22" s="7">
        <v>208</v>
      </c>
      <c r="C22" s="6" t="s">
        <v>13</v>
      </c>
      <c r="D22" s="7" t="s">
        <v>118</v>
      </c>
      <c r="E22" s="7" t="s">
        <v>30</v>
      </c>
      <c r="F22" s="7">
        <v>100</v>
      </c>
      <c r="G22" s="7">
        <v>340</v>
      </c>
      <c r="H22" s="7">
        <v>100</v>
      </c>
      <c r="I22" s="7">
        <f t="shared" si="3"/>
        <v>34000</v>
      </c>
      <c r="J22" s="6">
        <f t="shared" si="0"/>
        <v>5100</v>
      </c>
      <c r="K22" s="58">
        <f t="shared" si="1"/>
        <v>39100</v>
      </c>
      <c r="L22" s="59"/>
      <c r="M22" s="20"/>
    </row>
    <row r="23" spans="1:13" x14ac:dyDescent="0.3">
      <c r="A23" s="5">
        <v>46114</v>
      </c>
      <c r="B23" s="7">
        <v>209</v>
      </c>
      <c r="C23" s="6" t="s">
        <v>13</v>
      </c>
      <c r="D23" s="6" t="s">
        <v>117</v>
      </c>
      <c r="E23" s="7" t="s">
        <v>18</v>
      </c>
      <c r="F23" s="7">
        <v>567</v>
      </c>
      <c r="G23" s="7">
        <v>445</v>
      </c>
      <c r="H23" s="7">
        <v>567</v>
      </c>
      <c r="I23" s="7">
        <f t="shared" si="3"/>
        <v>252315</v>
      </c>
      <c r="J23" s="6">
        <f t="shared" si="0"/>
        <v>37847.25</v>
      </c>
      <c r="K23" s="58">
        <f t="shared" si="1"/>
        <v>290162.25</v>
      </c>
      <c r="L23" s="59"/>
      <c r="M23" s="20"/>
    </row>
    <row r="24" spans="1:13" x14ac:dyDescent="0.3">
      <c r="A24" s="5">
        <v>46116</v>
      </c>
      <c r="B24" s="7">
        <v>210</v>
      </c>
      <c r="C24" s="6" t="s">
        <v>13</v>
      </c>
      <c r="D24" s="7" t="s">
        <v>119</v>
      </c>
      <c r="E24" s="7" t="s">
        <v>120</v>
      </c>
      <c r="F24" s="17">
        <v>165</v>
      </c>
      <c r="G24" s="7">
        <v>20.5</v>
      </c>
      <c r="H24" s="7">
        <v>2847.25</v>
      </c>
      <c r="I24" s="7">
        <f t="shared" si="3"/>
        <v>58368.625</v>
      </c>
      <c r="J24" s="8">
        <f t="shared" si="0"/>
        <v>8755.2937499999989</v>
      </c>
      <c r="K24" s="67">
        <f t="shared" si="1"/>
        <v>67123.918749999997</v>
      </c>
      <c r="L24" s="68"/>
      <c r="M24" s="20"/>
    </row>
    <row r="25" spans="1:13" x14ac:dyDescent="0.3">
      <c r="A25" s="5">
        <v>46116</v>
      </c>
      <c r="B25" s="7">
        <v>211</v>
      </c>
      <c r="C25" s="6" t="s">
        <v>13</v>
      </c>
      <c r="D25" s="7" t="s">
        <v>121</v>
      </c>
      <c r="E25" s="6" t="s">
        <v>113</v>
      </c>
      <c r="F25" s="8">
        <v>50</v>
      </c>
      <c r="G25" s="8">
        <v>440</v>
      </c>
      <c r="H25" s="8">
        <v>50</v>
      </c>
      <c r="I25" s="7">
        <f>H25*G25</f>
        <v>22000</v>
      </c>
      <c r="J25" s="8">
        <f t="shared" si="0"/>
        <v>3300</v>
      </c>
      <c r="K25" s="69">
        <f t="shared" si="1"/>
        <v>25300</v>
      </c>
      <c r="L25" s="70"/>
      <c r="M25" s="20"/>
    </row>
    <row r="26" spans="1:13" x14ac:dyDescent="0.3">
      <c r="A26" s="5">
        <v>46116</v>
      </c>
      <c r="B26" s="7">
        <v>211</v>
      </c>
      <c r="C26" s="6" t="s">
        <v>13</v>
      </c>
      <c r="D26" s="7" t="s">
        <v>121</v>
      </c>
      <c r="E26" s="6" t="s">
        <v>27</v>
      </c>
      <c r="F26" s="8">
        <v>50</v>
      </c>
      <c r="G26" s="8">
        <v>440</v>
      </c>
      <c r="H26" s="8">
        <v>50</v>
      </c>
      <c r="I26" s="7">
        <f>H26*G26</f>
        <v>22000</v>
      </c>
      <c r="J26" s="8">
        <f t="shared" si="0"/>
        <v>3300</v>
      </c>
      <c r="K26" s="69">
        <f t="shared" si="1"/>
        <v>25300</v>
      </c>
      <c r="L26" s="70"/>
      <c r="M26" s="20"/>
    </row>
    <row r="27" spans="1:13" x14ac:dyDescent="0.3">
      <c r="A27" s="5">
        <v>46116</v>
      </c>
      <c r="B27" s="7">
        <v>211</v>
      </c>
      <c r="C27" s="6" t="s">
        <v>13</v>
      </c>
      <c r="D27" s="7" t="s">
        <v>121</v>
      </c>
      <c r="E27" s="7" t="s">
        <v>122</v>
      </c>
      <c r="F27" s="8">
        <v>20</v>
      </c>
      <c r="G27" s="8">
        <v>410</v>
      </c>
      <c r="H27" s="17">
        <v>20</v>
      </c>
      <c r="I27" s="7">
        <f t="shared" si="3"/>
        <v>8200</v>
      </c>
      <c r="J27" s="8">
        <f t="shared" si="0"/>
        <v>1230</v>
      </c>
      <c r="K27" s="69">
        <f t="shared" si="1"/>
        <v>9430</v>
      </c>
      <c r="L27" s="70"/>
    </row>
    <row r="28" spans="1:13" x14ac:dyDescent="0.3">
      <c r="A28" s="5">
        <v>46116</v>
      </c>
      <c r="B28" s="7">
        <v>211</v>
      </c>
      <c r="C28" s="6" t="s">
        <v>13</v>
      </c>
      <c r="D28" s="7" t="s">
        <v>121</v>
      </c>
      <c r="E28" s="7" t="s">
        <v>123</v>
      </c>
      <c r="F28" s="8">
        <v>10</v>
      </c>
      <c r="G28" s="8">
        <v>410</v>
      </c>
      <c r="H28" s="17">
        <v>10</v>
      </c>
      <c r="I28" s="7">
        <f t="shared" si="3"/>
        <v>4100</v>
      </c>
      <c r="J28" s="8">
        <f t="shared" si="0"/>
        <v>615</v>
      </c>
      <c r="K28" s="69">
        <f t="shared" si="1"/>
        <v>4715</v>
      </c>
      <c r="L28" s="70"/>
      <c r="M28" s="20"/>
    </row>
    <row r="29" spans="1:13" x14ac:dyDescent="0.3">
      <c r="A29" s="5">
        <v>46117</v>
      </c>
      <c r="B29" s="6">
        <v>212</v>
      </c>
      <c r="C29" s="6" t="s">
        <v>13</v>
      </c>
      <c r="D29" s="7" t="s">
        <v>185</v>
      </c>
      <c r="E29" s="7" t="s">
        <v>125</v>
      </c>
      <c r="F29" s="8">
        <v>100</v>
      </c>
      <c r="G29" s="8">
        <v>440</v>
      </c>
      <c r="H29" s="17">
        <v>100</v>
      </c>
      <c r="I29" s="7">
        <f t="shared" si="3"/>
        <v>44000</v>
      </c>
      <c r="J29" s="8">
        <f t="shared" si="0"/>
        <v>6600</v>
      </c>
      <c r="K29" s="11">
        <f t="shared" si="1"/>
        <v>50600</v>
      </c>
      <c r="L29" s="70"/>
      <c r="M29" s="83"/>
    </row>
    <row r="30" spans="1:13" x14ac:dyDescent="0.3">
      <c r="A30" s="5">
        <v>46117</v>
      </c>
      <c r="B30" s="6">
        <v>213</v>
      </c>
      <c r="C30" s="6" t="s">
        <v>13</v>
      </c>
      <c r="D30" s="6" t="s">
        <v>126</v>
      </c>
      <c r="E30" s="6" t="s">
        <v>127</v>
      </c>
      <c r="F30" s="8">
        <v>12</v>
      </c>
      <c r="G30" s="8">
        <v>31</v>
      </c>
      <c r="H30" s="13">
        <v>210.36</v>
      </c>
      <c r="I30" s="8">
        <f t="shared" si="3"/>
        <v>6521.1600000000008</v>
      </c>
      <c r="J30" s="8">
        <f t="shared" si="0"/>
        <v>978.17400000000009</v>
      </c>
      <c r="K30" s="69">
        <f t="shared" si="1"/>
        <v>7499.3340000000007</v>
      </c>
      <c r="L30" s="70"/>
      <c r="M30" s="20"/>
    </row>
    <row r="31" spans="1:13" x14ac:dyDescent="0.3">
      <c r="A31" s="5">
        <v>46118</v>
      </c>
      <c r="B31" s="6">
        <v>214</v>
      </c>
      <c r="C31" s="6" t="s">
        <v>13</v>
      </c>
      <c r="D31" s="6" t="s">
        <v>129</v>
      </c>
      <c r="E31" s="6" t="s">
        <v>130</v>
      </c>
      <c r="F31" s="8">
        <v>955</v>
      </c>
      <c r="G31" s="8">
        <v>100</v>
      </c>
      <c r="H31" s="8">
        <v>955</v>
      </c>
      <c r="I31" s="8">
        <f t="shared" si="3"/>
        <v>95500</v>
      </c>
      <c r="J31" s="8">
        <f t="shared" si="0"/>
        <v>14325</v>
      </c>
      <c r="K31" s="11">
        <f t="shared" si="1"/>
        <v>109825</v>
      </c>
      <c r="L31" s="12"/>
      <c r="M31" s="20"/>
    </row>
    <row r="32" spans="1:13" x14ac:dyDescent="0.3">
      <c r="A32" s="5">
        <v>46118</v>
      </c>
      <c r="B32" s="6">
        <v>215</v>
      </c>
      <c r="C32" s="6" t="s">
        <v>13</v>
      </c>
      <c r="D32" s="7" t="s">
        <v>131</v>
      </c>
      <c r="E32" s="7" t="s">
        <v>132</v>
      </c>
      <c r="F32" s="8">
        <v>20</v>
      </c>
      <c r="G32" s="8">
        <v>430</v>
      </c>
      <c r="H32" s="17">
        <v>20</v>
      </c>
      <c r="I32" s="8">
        <f t="shared" si="3"/>
        <v>8600</v>
      </c>
      <c r="J32" s="8">
        <f t="shared" si="0"/>
        <v>1290</v>
      </c>
      <c r="K32" s="69">
        <f t="shared" si="1"/>
        <v>9890</v>
      </c>
      <c r="L32" s="70"/>
    </row>
    <row r="33" spans="1:13" x14ac:dyDescent="0.3">
      <c r="A33" s="5">
        <v>46118</v>
      </c>
      <c r="B33" s="6">
        <v>215</v>
      </c>
      <c r="C33" s="6" t="s">
        <v>13</v>
      </c>
      <c r="D33" s="6" t="s">
        <v>131</v>
      </c>
      <c r="E33" s="6" t="s">
        <v>133</v>
      </c>
      <c r="F33" s="8">
        <v>10</v>
      </c>
      <c r="G33" s="8">
        <v>34</v>
      </c>
      <c r="H33" s="13">
        <v>177.24</v>
      </c>
      <c r="I33" s="8">
        <f t="shared" si="3"/>
        <v>6026.16</v>
      </c>
      <c r="J33" s="8">
        <f t="shared" si="0"/>
        <v>903.92399999999998</v>
      </c>
      <c r="K33" s="69">
        <f t="shared" si="1"/>
        <v>6930.0839999999998</v>
      </c>
      <c r="L33" s="70"/>
    </row>
    <row r="34" spans="1:13" x14ac:dyDescent="0.3">
      <c r="A34" s="5">
        <v>46118</v>
      </c>
      <c r="B34" s="6">
        <v>216</v>
      </c>
      <c r="C34" s="6" t="s">
        <v>13</v>
      </c>
      <c r="D34" s="6" t="s">
        <v>17</v>
      </c>
      <c r="E34" s="6" t="s">
        <v>137</v>
      </c>
      <c r="F34" s="8"/>
      <c r="G34" s="8">
        <v>27.35</v>
      </c>
      <c r="H34" s="17">
        <v>10000</v>
      </c>
      <c r="I34" s="8">
        <f t="shared" si="3"/>
        <v>273500</v>
      </c>
      <c r="J34" s="8">
        <f t="shared" si="0"/>
        <v>41025</v>
      </c>
      <c r="K34" s="11">
        <f t="shared" si="1"/>
        <v>314525</v>
      </c>
      <c r="L34" s="12"/>
    </row>
    <row r="35" spans="1:13" x14ac:dyDescent="0.3">
      <c r="A35" s="5">
        <v>46118</v>
      </c>
      <c r="B35" s="6">
        <v>217</v>
      </c>
      <c r="C35" s="6" t="s">
        <v>13</v>
      </c>
      <c r="D35" s="6" t="s">
        <v>134</v>
      </c>
      <c r="E35" s="6" t="s">
        <v>21</v>
      </c>
      <c r="F35" s="8">
        <v>901</v>
      </c>
      <c r="G35" s="8">
        <v>455</v>
      </c>
      <c r="H35" s="8">
        <v>901</v>
      </c>
      <c r="I35" s="8">
        <f t="shared" si="3"/>
        <v>409955</v>
      </c>
      <c r="J35" s="8">
        <f t="shared" si="0"/>
        <v>61493.25</v>
      </c>
      <c r="K35" s="11">
        <f>I35+J35</f>
        <v>471448.25</v>
      </c>
      <c r="L35" s="12"/>
    </row>
    <row r="36" spans="1:13" x14ac:dyDescent="0.3">
      <c r="A36" s="5">
        <v>46118</v>
      </c>
      <c r="B36" s="6">
        <v>217</v>
      </c>
      <c r="C36" s="6" t="s">
        <v>13</v>
      </c>
      <c r="D36" s="6" t="s">
        <v>134</v>
      </c>
      <c r="E36" s="6" t="s">
        <v>18</v>
      </c>
      <c r="F36" s="8">
        <v>569</v>
      </c>
      <c r="G36" s="8">
        <v>460</v>
      </c>
      <c r="H36" s="8">
        <v>569</v>
      </c>
      <c r="I36" s="8">
        <f t="shared" si="3"/>
        <v>261740</v>
      </c>
      <c r="J36" s="8">
        <f t="shared" si="0"/>
        <v>39261</v>
      </c>
      <c r="K36" s="11">
        <f t="shared" si="1"/>
        <v>301001</v>
      </c>
      <c r="L36" s="12"/>
    </row>
    <row r="37" spans="1:13" x14ac:dyDescent="0.3">
      <c r="A37" s="5">
        <v>46118</v>
      </c>
      <c r="B37" s="6">
        <v>217</v>
      </c>
      <c r="C37" s="6" t="s">
        <v>13</v>
      </c>
      <c r="D37" s="6" t="s">
        <v>134</v>
      </c>
      <c r="E37" s="6" t="s">
        <v>24</v>
      </c>
      <c r="F37" s="8">
        <v>30</v>
      </c>
      <c r="G37" s="8">
        <v>1044</v>
      </c>
      <c r="H37" s="8">
        <v>30</v>
      </c>
      <c r="I37" s="8">
        <f t="shared" si="3"/>
        <v>31320</v>
      </c>
      <c r="J37" s="8">
        <f t="shared" si="0"/>
        <v>4698</v>
      </c>
      <c r="K37" s="11">
        <f t="shared" si="1"/>
        <v>36018</v>
      </c>
      <c r="L37" s="12"/>
    </row>
    <row r="38" spans="1:13" x14ac:dyDescent="0.3">
      <c r="A38" s="5">
        <v>46119</v>
      </c>
      <c r="B38" s="6">
        <v>218</v>
      </c>
      <c r="C38" s="71" t="s">
        <v>13</v>
      </c>
      <c r="D38" s="6" t="s">
        <v>139</v>
      </c>
      <c r="E38" s="6" t="s">
        <v>138</v>
      </c>
      <c r="F38" s="8">
        <v>30</v>
      </c>
      <c r="G38" s="8">
        <v>693</v>
      </c>
      <c r="H38" s="17">
        <v>30</v>
      </c>
      <c r="I38" s="8">
        <f t="shared" si="3"/>
        <v>20790</v>
      </c>
      <c r="J38" s="8">
        <f t="shared" si="0"/>
        <v>3118.5</v>
      </c>
      <c r="K38" s="69">
        <f t="shared" si="1"/>
        <v>23908.5</v>
      </c>
      <c r="L38" s="72"/>
      <c r="M38" s="73"/>
    </row>
    <row r="39" spans="1:13" x14ac:dyDescent="0.3">
      <c r="A39" s="5">
        <v>46119</v>
      </c>
      <c r="B39" s="6">
        <v>219</v>
      </c>
      <c r="C39" s="6" t="s">
        <v>13</v>
      </c>
      <c r="D39" s="6" t="s">
        <v>140</v>
      </c>
      <c r="E39" s="7" t="s">
        <v>14</v>
      </c>
      <c r="F39" s="8">
        <v>133</v>
      </c>
      <c r="G39" s="8">
        <v>435</v>
      </c>
      <c r="H39" s="8">
        <v>133</v>
      </c>
      <c r="I39" s="8">
        <f t="shared" si="3"/>
        <v>57855</v>
      </c>
      <c r="J39" s="8">
        <f t="shared" si="0"/>
        <v>8678.25</v>
      </c>
      <c r="K39" s="69">
        <f t="shared" si="1"/>
        <v>66533.25</v>
      </c>
      <c r="L39" s="72"/>
      <c r="M39" s="73"/>
    </row>
    <row r="40" spans="1:13" x14ac:dyDescent="0.3">
      <c r="A40" s="5">
        <v>46119</v>
      </c>
      <c r="B40" s="6">
        <v>219</v>
      </c>
      <c r="C40" s="6" t="s">
        <v>13</v>
      </c>
      <c r="D40" s="6" t="s">
        <v>140</v>
      </c>
      <c r="E40" s="6" t="s">
        <v>125</v>
      </c>
      <c r="F40" s="8">
        <v>44</v>
      </c>
      <c r="G40" s="8">
        <v>435</v>
      </c>
      <c r="H40" s="8">
        <v>44</v>
      </c>
      <c r="I40" s="8">
        <f t="shared" si="3"/>
        <v>19140</v>
      </c>
      <c r="J40" s="8">
        <f t="shared" si="0"/>
        <v>2871</v>
      </c>
      <c r="K40" s="69">
        <f t="shared" si="1"/>
        <v>22011</v>
      </c>
      <c r="L40" s="70"/>
    </row>
    <row r="41" spans="1:13" x14ac:dyDescent="0.3">
      <c r="A41" s="5">
        <v>46119</v>
      </c>
      <c r="B41" s="6">
        <v>219</v>
      </c>
      <c r="C41" s="6" t="s">
        <v>13</v>
      </c>
      <c r="D41" s="6" t="s">
        <v>140</v>
      </c>
      <c r="E41" s="6" t="s">
        <v>28</v>
      </c>
      <c r="F41" s="8">
        <v>130</v>
      </c>
      <c r="G41" s="8">
        <v>435</v>
      </c>
      <c r="H41" s="8">
        <v>130</v>
      </c>
      <c r="I41" s="8">
        <f t="shared" si="3"/>
        <v>56550</v>
      </c>
      <c r="J41" s="8">
        <f t="shared" si="0"/>
        <v>8482.5</v>
      </c>
      <c r="K41" s="69">
        <f t="shared" si="1"/>
        <v>65032.5</v>
      </c>
      <c r="L41" s="70"/>
    </row>
    <row r="42" spans="1:13" x14ac:dyDescent="0.3">
      <c r="A42" s="5">
        <v>46119</v>
      </c>
      <c r="B42" s="6">
        <v>219</v>
      </c>
      <c r="C42" s="6" t="s">
        <v>13</v>
      </c>
      <c r="D42" s="6" t="s">
        <v>140</v>
      </c>
      <c r="E42" s="6" t="s">
        <v>115</v>
      </c>
      <c r="F42" s="8">
        <v>300</v>
      </c>
      <c r="G42" s="8">
        <v>350</v>
      </c>
      <c r="H42" s="8">
        <v>300</v>
      </c>
      <c r="I42" s="8">
        <f t="shared" si="3"/>
        <v>105000</v>
      </c>
      <c r="J42" s="8">
        <f t="shared" si="0"/>
        <v>15750</v>
      </c>
      <c r="K42" s="69">
        <f t="shared" si="1"/>
        <v>120750</v>
      </c>
      <c r="L42" s="70"/>
    </row>
    <row r="43" spans="1:13" x14ac:dyDescent="0.3">
      <c r="A43" s="5">
        <v>46119</v>
      </c>
      <c r="B43" s="6">
        <v>220</v>
      </c>
      <c r="C43" s="6" t="s">
        <v>13</v>
      </c>
      <c r="D43" s="6" t="s">
        <v>143</v>
      </c>
      <c r="E43" s="6" t="s">
        <v>28</v>
      </c>
      <c r="F43" s="8">
        <v>25</v>
      </c>
      <c r="G43" s="8">
        <v>440</v>
      </c>
      <c r="H43" s="8">
        <v>25</v>
      </c>
      <c r="I43" s="8">
        <f t="shared" si="3"/>
        <v>11000</v>
      </c>
      <c r="J43" s="8">
        <f t="shared" si="0"/>
        <v>1650</v>
      </c>
      <c r="K43" s="69">
        <f t="shared" si="1"/>
        <v>12650</v>
      </c>
      <c r="L43" s="70"/>
    </row>
    <row r="44" spans="1:13" x14ac:dyDescent="0.3">
      <c r="A44" s="5">
        <v>46119</v>
      </c>
      <c r="B44" s="6">
        <v>220</v>
      </c>
      <c r="C44" s="6" t="s">
        <v>13</v>
      </c>
      <c r="D44" s="6" t="s">
        <v>143</v>
      </c>
      <c r="E44" s="6" t="s">
        <v>27</v>
      </c>
      <c r="F44" s="8">
        <v>25</v>
      </c>
      <c r="G44" s="8">
        <v>440</v>
      </c>
      <c r="H44" s="8">
        <v>25</v>
      </c>
      <c r="I44" s="8">
        <f t="shared" si="3"/>
        <v>11000</v>
      </c>
      <c r="J44" s="8">
        <f t="shared" si="0"/>
        <v>1650</v>
      </c>
      <c r="K44" s="69">
        <f t="shared" si="1"/>
        <v>12650</v>
      </c>
      <c r="L44" s="70"/>
      <c r="M44" s="20"/>
    </row>
    <row r="45" spans="1:13" x14ac:dyDescent="0.3">
      <c r="A45" s="5">
        <v>46120</v>
      </c>
      <c r="B45" s="6">
        <v>221</v>
      </c>
      <c r="C45" s="6" t="s">
        <v>13</v>
      </c>
      <c r="D45" s="7" t="s">
        <v>145</v>
      </c>
      <c r="E45" s="6" t="s">
        <v>115</v>
      </c>
      <c r="F45" s="8">
        <v>100</v>
      </c>
      <c r="G45" s="8">
        <v>355</v>
      </c>
      <c r="H45" s="8">
        <v>100</v>
      </c>
      <c r="I45" s="8">
        <f t="shared" si="3"/>
        <v>35500</v>
      </c>
      <c r="J45" s="8">
        <f t="shared" si="0"/>
        <v>5325</v>
      </c>
      <c r="K45" s="74">
        <f t="shared" si="1"/>
        <v>40825</v>
      </c>
      <c r="L45" s="75"/>
      <c r="M45" s="20"/>
    </row>
    <row r="46" spans="1:13" x14ac:dyDescent="0.3">
      <c r="A46" s="5">
        <v>46120</v>
      </c>
      <c r="B46" s="6">
        <v>222</v>
      </c>
      <c r="C46" s="6" t="s">
        <v>13</v>
      </c>
      <c r="D46" s="6" t="s">
        <v>140</v>
      </c>
      <c r="E46" s="6" t="s">
        <v>146</v>
      </c>
      <c r="F46" s="8">
        <v>50</v>
      </c>
      <c r="G46" s="8">
        <v>32</v>
      </c>
      <c r="H46" s="8">
        <v>1033.08</v>
      </c>
      <c r="I46" s="8">
        <f t="shared" si="3"/>
        <v>33058.559999999998</v>
      </c>
      <c r="J46" s="8">
        <f t="shared" si="0"/>
        <v>4958.7839999999997</v>
      </c>
      <c r="K46" s="69">
        <f t="shared" si="1"/>
        <v>38017.343999999997</v>
      </c>
      <c r="L46" s="70"/>
      <c r="M46" s="20"/>
    </row>
    <row r="47" spans="1:13" x14ac:dyDescent="0.3">
      <c r="A47" s="5">
        <v>46121</v>
      </c>
      <c r="B47" s="6">
        <v>223</v>
      </c>
      <c r="C47" s="6" t="s">
        <v>13</v>
      </c>
      <c r="D47" s="6" t="s">
        <v>147</v>
      </c>
      <c r="E47" s="6" t="s">
        <v>115</v>
      </c>
      <c r="F47" s="8">
        <v>250</v>
      </c>
      <c r="G47" s="8">
        <v>360</v>
      </c>
      <c r="H47" s="8">
        <v>250</v>
      </c>
      <c r="I47" s="8">
        <f t="shared" si="3"/>
        <v>90000</v>
      </c>
      <c r="J47" s="8">
        <f t="shared" si="0"/>
        <v>13500</v>
      </c>
      <c r="K47" s="69">
        <f t="shared" si="1"/>
        <v>103500</v>
      </c>
      <c r="L47" s="70"/>
      <c r="M47" s="20"/>
    </row>
    <row r="48" spans="1:13" x14ac:dyDescent="0.3">
      <c r="A48" s="5">
        <v>46121</v>
      </c>
      <c r="B48" s="6">
        <v>224</v>
      </c>
      <c r="C48" s="6" t="s">
        <v>13</v>
      </c>
      <c r="D48" s="6" t="s">
        <v>140</v>
      </c>
      <c r="E48" s="7" t="s">
        <v>14</v>
      </c>
      <c r="F48" s="8">
        <v>25</v>
      </c>
      <c r="G48" s="8">
        <v>435</v>
      </c>
      <c r="H48" s="8">
        <v>25</v>
      </c>
      <c r="I48" s="8">
        <f t="shared" si="3"/>
        <v>10875</v>
      </c>
      <c r="J48" s="8">
        <f t="shared" si="0"/>
        <v>1631.25</v>
      </c>
      <c r="K48" s="11">
        <f t="shared" si="1"/>
        <v>12506.25</v>
      </c>
      <c r="L48" s="12"/>
      <c r="M48" s="20"/>
    </row>
    <row r="49" spans="1:13" x14ac:dyDescent="0.3">
      <c r="A49" s="5">
        <v>46121</v>
      </c>
      <c r="B49" s="6">
        <v>224</v>
      </c>
      <c r="C49" s="6" t="s">
        <v>13</v>
      </c>
      <c r="D49" s="6" t="s">
        <v>140</v>
      </c>
      <c r="E49" s="6" t="s">
        <v>28</v>
      </c>
      <c r="F49" s="8">
        <v>203</v>
      </c>
      <c r="G49" s="8">
        <v>435</v>
      </c>
      <c r="H49" s="8">
        <v>203</v>
      </c>
      <c r="I49" s="8">
        <f t="shared" si="3"/>
        <v>88305</v>
      </c>
      <c r="J49" s="8">
        <f t="shared" si="0"/>
        <v>13245.75</v>
      </c>
      <c r="K49" s="11">
        <f t="shared" si="1"/>
        <v>101550.75</v>
      </c>
      <c r="L49" s="12"/>
      <c r="M49" s="20"/>
    </row>
    <row r="50" spans="1:13" x14ac:dyDescent="0.3">
      <c r="A50" s="5">
        <v>46121</v>
      </c>
      <c r="B50" s="6">
        <v>224</v>
      </c>
      <c r="C50" s="6" t="s">
        <v>13</v>
      </c>
      <c r="D50" s="6" t="s">
        <v>140</v>
      </c>
      <c r="E50" s="6" t="s">
        <v>113</v>
      </c>
      <c r="F50" s="8">
        <v>69</v>
      </c>
      <c r="G50" s="8">
        <v>435</v>
      </c>
      <c r="H50" s="8">
        <v>69</v>
      </c>
      <c r="I50" s="8">
        <f t="shared" si="3"/>
        <v>30015</v>
      </c>
      <c r="J50" s="8">
        <f t="shared" si="0"/>
        <v>4502.25</v>
      </c>
      <c r="K50" s="11">
        <f t="shared" si="1"/>
        <v>34517.25</v>
      </c>
      <c r="L50" s="12"/>
      <c r="M50" s="20"/>
    </row>
    <row r="51" spans="1:13" x14ac:dyDescent="0.3">
      <c r="A51" s="5">
        <v>46121</v>
      </c>
      <c r="B51" s="6">
        <v>224</v>
      </c>
      <c r="C51" s="6" t="s">
        <v>13</v>
      </c>
      <c r="D51" s="6" t="s">
        <v>140</v>
      </c>
      <c r="E51" s="6" t="s">
        <v>27</v>
      </c>
      <c r="F51" s="8">
        <v>40</v>
      </c>
      <c r="G51" s="8">
        <v>435</v>
      </c>
      <c r="H51" s="8">
        <v>40</v>
      </c>
      <c r="I51" s="8">
        <f t="shared" si="3"/>
        <v>17400</v>
      </c>
      <c r="J51" s="8">
        <f t="shared" si="0"/>
        <v>2610</v>
      </c>
      <c r="K51" s="11">
        <f t="shared" si="1"/>
        <v>20010</v>
      </c>
      <c r="L51" s="12"/>
      <c r="M51" s="20"/>
    </row>
    <row r="52" spans="1:13" x14ac:dyDescent="0.3">
      <c r="A52" s="5">
        <v>46121</v>
      </c>
      <c r="B52" s="6">
        <v>225</v>
      </c>
      <c r="C52" s="6" t="s">
        <v>13</v>
      </c>
      <c r="D52" s="6" t="s">
        <v>17</v>
      </c>
      <c r="E52" s="6" t="s">
        <v>127</v>
      </c>
      <c r="F52" s="8">
        <v>611</v>
      </c>
      <c r="G52" s="8">
        <v>27.5</v>
      </c>
      <c r="H52" s="8">
        <v>11278.62</v>
      </c>
      <c r="I52" s="8">
        <f t="shared" si="3"/>
        <v>310162.05000000005</v>
      </c>
      <c r="J52" s="8">
        <f t="shared" si="0"/>
        <v>46524.307500000003</v>
      </c>
      <c r="K52" s="69">
        <f t="shared" si="1"/>
        <v>356686.35750000004</v>
      </c>
      <c r="L52" s="70"/>
    </row>
    <row r="53" spans="1:13" x14ac:dyDescent="0.3">
      <c r="A53" s="5">
        <v>46121</v>
      </c>
      <c r="B53" s="6">
        <v>226</v>
      </c>
      <c r="C53" s="6" t="s">
        <v>13</v>
      </c>
      <c r="D53" s="6" t="s">
        <v>17</v>
      </c>
      <c r="E53" s="6" t="s">
        <v>148</v>
      </c>
      <c r="F53" s="8">
        <v>4000</v>
      </c>
      <c r="G53" s="8">
        <v>167.5</v>
      </c>
      <c r="H53" s="8">
        <v>4000</v>
      </c>
      <c r="I53" s="8">
        <f t="shared" si="3"/>
        <v>670000</v>
      </c>
      <c r="J53" s="8">
        <f t="shared" si="0"/>
        <v>100500</v>
      </c>
      <c r="K53" s="11">
        <f t="shared" si="1"/>
        <v>770500</v>
      </c>
      <c r="L53" s="12"/>
      <c r="M53" s="20"/>
    </row>
    <row r="54" spans="1:13" x14ac:dyDescent="0.3">
      <c r="A54" s="5">
        <v>46123</v>
      </c>
      <c r="B54" s="6">
        <v>227</v>
      </c>
      <c r="C54" s="6" t="s">
        <v>13</v>
      </c>
      <c r="D54" s="7" t="s">
        <v>149</v>
      </c>
      <c r="E54" s="7" t="s">
        <v>123</v>
      </c>
      <c r="F54" s="8">
        <v>48</v>
      </c>
      <c r="G54" s="8">
        <v>410</v>
      </c>
      <c r="H54" s="8">
        <v>48</v>
      </c>
      <c r="I54" s="8">
        <f t="shared" si="3"/>
        <v>19680</v>
      </c>
      <c r="J54" s="8">
        <f t="shared" si="0"/>
        <v>2952</v>
      </c>
      <c r="K54" s="11">
        <f t="shared" si="1"/>
        <v>22632</v>
      </c>
      <c r="L54" s="12"/>
      <c r="M54" s="20"/>
    </row>
    <row r="55" spans="1:13" x14ac:dyDescent="0.3">
      <c r="A55" s="5">
        <v>46123</v>
      </c>
      <c r="B55" s="6">
        <v>227</v>
      </c>
      <c r="C55" s="6" t="s">
        <v>13</v>
      </c>
      <c r="D55" s="7" t="s">
        <v>149</v>
      </c>
      <c r="E55" s="6" t="s">
        <v>122</v>
      </c>
      <c r="F55" s="8">
        <v>25</v>
      </c>
      <c r="G55" s="8">
        <v>410</v>
      </c>
      <c r="H55" s="8">
        <v>25</v>
      </c>
      <c r="I55" s="8">
        <f t="shared" si="3"/>
        <v>10250</v>
      </c>
      <c r="J55" s="8">
        <f t="shared" si="0"/>
        <v>1537.5</v>
      </c>
      <c r="K55" s="11">
        <f t="shared" si="1"/>
        <v>11787.5</v>
      </c>
      <c r="L55" s="12"/>
      <c r="M55" s="20"/>
    </row>
    <row r="56" spans="1:13" x14ac:dyDescent="0.3">
      <c r="A56" s="5">
        <v>46123</v>
      </c>
      <c r="B56" s="6">
        <v>227</v>
      </c>
      <c r="C56" s="6" t="s">
        <v>13</v>
      </c>
      <c r="D56" s="7" t="s">
        <v>149</v>
      </c>
      <c r="E56" s="6" t="s">
        <v>111</v>
      </c>
      <c r="F56" s="8">
        <v>25</v>
      </c>
      <c r="G56" s="8">
        <v>410</v>
      </c>
      <c r="H56" s="8">
        <v>25</v>
      </c>
      <c r="I56" s="8">
        <f t="shared" si="3"/>
        <v>10250</v>
      </c>
      <c r="J56" s="8">
        <f t="shared" si="0"/>
        <v>1537.5</v>
      </c>
      <c r="K56" s="11">
        <f t="shared" si="1"/>
        <v>11787.5</v>
      </c>
      <c r="L56" s="12"/>
    </row>
    <row r="57" spans="1:13" x14ac:dyDescent="0.3">
      <c r="A57" s="5">
        <v>46123</v>
      </c>
      <c r="B57" s="6">
        <v>227</v>
      </c>
      <c r="C57" s="6" t="s">
        <v>13</v>
      </c>
      <c r="D57" s="7" t="s">
        <v>149</v>
      </c>
      <c r="E57" s="6" t="s">
        <v>150</v>
      </c>
      <c r="F57" s="8">
        <v>2</v>
      </c>
      <c r="G57" s="8">
        <v>410</v>
      </c>
      <c r="H57" s="8">
        <v>2</v>
      </c>
      <c r="I57" s="8">
        <f t="shared" si="3"/>
        <v>820</v>
      </c>
      <c r="J57" s="8">
        <f t="shared" si="0"/>
        <v>123</v>
      </c>
      <c r="K57" s="11">
        <f t="shared" si="1"/>
        <v>943</v>
      </c>
      <c r="L57" s="12"/>
    </row>
    <row r="58" spans="1:13" x14ac:dyDescent="0.3">
      <c r="A58" s="5">
        <v>46124</v>
      </c>
      <c r="B58" s="6">
        <v>228</v>
      </c>
      <c r="C58" s="6" t="s">
        <v>13</v>
      </c>
      <c r="D58" s="6" t="s">
        <v>151</v>
      </c>
      <c r="E58" s="6" t="s">
        <v>16</v>
      </c>
      <c r="F58" s="8">
        <v>200</v>
      </c>
      <c r="G58" s="8">
        <v>215</v>
      </c>
      <c r="H58" s="8">
        <v>200</v>
      </c>
      <c r="I58" s="8">
        <f t="shared" si="3"/>
        <v>43000</v>
      </c>
      <c r="J58" s="8">
        <f t="shared" si="0"/>
        <v>6450</v>
      </c>
      <c r="K58" s="11">
        <f t="shared" si="1"/>
        <v>49450</v>
      </c>
      <c r="L58" s="12"/>
      <c r="M58" s="20"/>
    </row>
    <row r="59" spans="1:13" x14ac:dyDescent="0.3">
      <c r="A59" s="76">
        <v>46125</v>
      </c>
      <c r="B59" s="10"/>
      <c r="C59" s="10" t="s">
        <v>144</v>
      </c>
      <c r="D59" s="9" t="s">
        <v>152</v>
      </c>
      <c r="E59" s="10"/>
      <c r="F59" s="77"/>
      <c r="G59" s="77"/>
      <c r="H59" s="77"/>
      <c r="I59" s="77">
        <f t="shared" si="3"/>
        <v>0</v>
      </c>
      <c r="J59" s="77">
        <f t="shared" si="0"/>
        <v>0</v>
      </c>
      <c r="K59" s="78">
        <f t="shared" si="1"/>
        <v>0</v>
      </c>
      <c r="L59" s="79"/>
      <c r="M59" s="80"/>
    </row>
    <row r="60" spans="1:13" x14ac:dyDescent="0.3">
      <c r="A60" s="5">
        <v>46125</v>
      </c>
      <c r="B60" s="6">
        <v>229</v>
      </c>
      <c r="C60" s="6" t="s">
        <v>13</v>
      </c>
      <c r="D60" s="6" t="s">
        <v>153</v>
      </c>
      <c r="E60" s="6" t="s">
        <v>28</v>
      </c>
      <c r="F60" s="8">
        <v>50</v>
      </c>
      <c r="G60" s="8">
        <v>440</v>
      </c>
      <c r="H60" s="8">
        <v>50</v>
      </c>
      <c r="I60" s="8">
        <f t="shared" si="3"/>
        <v>22000</v>
      </c>
      <c r="J60" s="8">
        <f t="shared" si="0"/>
        <v>3300</v>
      </c>
      <c r="K60" s="11">
        <f t="shared" si="1"/>
        <v>25300</v>
      </c>
      <c r="L60" s="70"/>
      <c r="M60" s="82"/>
    </row>
    <row r="61" spans="1:13" x14ac:dyDescent="0.3">
      <c r="A61" s="5">
        <v>46125</v>
      </c>
      <c r="B61" s="6">
        <v>230</v>
      </c>
      <c r="C61" s="6" t="s">
        <v>13</v>
      </c>
      <c r="D61" s="7" t="s">
        <v>185</v>
      </c>
      <c r="E61" s="6" t="s">
        <v>142</v>
      </c>
      <c r="F61" s="8">
        <v>75</v>
      </c>
      <c r="G61" s="8">
        <v>455</v>
      </c>
      <c r="H61" s="8">
        <v>75</v>
      </c>
      <c r="I61" s="8">
        <f t="shared" si="3"/>
        <v>34125</v>
      </c>
      <c r="J61" s="8">
        <f t="shared" si="0"/>
        <v>5118.75</v>
      </c>
      <c r="K61" s="11">
        <f t="shared" si="1"/>
        <v>39243.75</v>
      </c>
      <c r="L61" s="12"/>
    </row>
    <row r="62" spans="1:13" x14ac:dyDescent="0.3">
      <c r="A62" s="5">
        <v>46125</v>
      </c>
      <c r="B62" s="6">
        <v>230</v>
      </c>
      <c r="C62" s="6" t="s">
        <v>13</v>
      </c>
      <c r="D62" s="7" t="s">
        <v>185</v>
      </c>
      <c r="E62" s="7" t="s">
        <v>21</v>
      </c>
      <c r="F62" s="8">
        <v>50</v>
      </c>
      <c r="G62" s="8">
        <v>450</v>
      </c>
      <c r="H62" s="8">
        <v>50</v>
      </c>
      <c r="I62" s="8">
        <f t="shared" si="3"/>
        <v>22500</v>
      </c>
      <c r="J62" s="8">
        <f t="shared" si="0"/>
        <v>3375</v>
      </c>
      <c r="K62" s="11">
        <f t="shared" si="1"/>
        <v>25875</v>
      </c>
      <c r="L62" s="12"/>
    </row>
    <row r="63" spans="1:13" x14ac:dyDescent="0.3">
      <c r="A63" s="76">
        <v>46126</v>
      </c>
      <c r="B63" s="10"/>
      <c r="C63" s="10"/>
      <c r="D63" s="9" t="s">
        <v>154</v>
      </c>
      <c r="E63" s="9"/>
      <c r="F63" s="77"/>
      <c r="G63" s="77"/>
      <c r="H63" s="77"/>
      <c r="I63" s="77">
        <f t="shared" si="3"/>
        <v>0</v>
      </c>
      <c r="J63" s="77">
        <f t="shared" si="0"/>
        <v>0</v>
      </c>
      <c r="K63" s="78">
        <f t="shared" si="1"/>
        <v>0</v>
      </c>
      <c r="L63" s="79"/>
      <c r="M63" s="81"/>
    </row>
    <row r="64" spans="1:13" x14ac:dyDescent="0.3">
      <c r="A64" s="5">
        <v>46126</v>
      </c>
      <c r="B64" s="6">
        <v>231</v>
      </c>
      <c r="C64" s="6" t="s">
        <v>13</v>
      </c>
      <c r="D64" s="6" t="s">
        <v>126</v>
      </c>
      <c r="E64" s="6" t="s">
        <v>115</v>
      </c>
      <c r="F64" s="8">
        <v>600</v>
      </c>
      <c r="G64" s="8">
        <v>365</v>
      </c>
      <c r="H64" s="8">
        <v>600</v>
      </c>
      <c r="I64" s="8">
        <f t="shared" si="3"/>
        <v>219000</v>
      </c>
      <c r="J64" s="8">
        <f t="shared" si="0"/>
        <v>32850</v>
      </c>
      <c r="K64" s="11">
        <f t="shared" si="1"/>
        <v>251850</v>
      </c>
      <c r="L64" s="12"/>
    </row>
    <row r="65" spans="1:13" x14ac:dyDescent="0.3">
      <c r="A65" s="5">
        <v>46126</v>
      </c>
      <c r="B65" s="6">
        <v>232</v>
      </c>
      <c r="C65" s="6" t="s">
        <v>13</v>
      </c>
      <c r="D65" s="6" t="s">
        <v>143</v>
      </c>
      <c r="E65" s="6" t="s">
        <v>27</v>
      </c>
      <c r="F65" s="8">
        <v>25</v>
      </c>
      <c r="G65" s="8">
        <v>450</v>
      </c>
      <c r="H65" s="8">
        <v>25</v>
      </c>
      <c r="I65" s="8">
        <f t="shared" si="3"/>
        <v>11250</v>
      </c>
      <c r="J65" s="8">
        <f t="shared" si="0"/>
        <v>1687.5</v>
      </c>
      <c r="K65" s="11">
        <f t="shared" si="1"/>
        <v>12937.5</v>
      </c>
      <c r="L65" s="12"/>
    </row>
    <row r="66" spans="1:13" x14ac:dyDescent="0.3">
      <c r="A66" s="5">
        <v>46126</v>
      </c>
      <c r="B66" s="6">
        <v>232</v>
      </c>
      <c r="C66" s="6" t="s">
        <v>13</v>
      </c>
      <c r="D66" s="6" t="s">
        <v>143</v>
      </c>
      <c r="E66" s="6" t="s">
        <v>132</v>
      </c>
      <c r="F66" s="8">
        <v>5</v>
      </c>
      <c r="G66" s="8">
        <v>425</v>
      </c>
      <c r="H66" s="8">
        <v>5</v>
      </c>
      <c r="I66" s="8">
        <f t="shared" si="3"/>
        <v>2125</v>
      </c>
      <c r="J66" s="8">
        <f t="shared" si="0"/>
        <v>318.75</v>
      </c>
      <c r="K66" s="11">
        <f t="shared" si="1"/>
        <v>2443.75</v>
      </c>
      <c r="L66" s="12"/>
    </row>
    <row r="67" spans="1:13" x14ac:dyDescent="0.3">
      <c r="A67" s="5">
        <v>46127</v>
      </c>
      <c r="B67" s="6">
        <v>233</v>
      </c>
      <c r="C67" s="6" t="s">
        <v>13</v>
      </c>
      <c r="D67" s="7" t="s">
        <v>185</v>
      </c>
      <c r="E67" s="6" t="s">
        <v>138</v>
      </c>
      <c r="F67" s="8">
        <v>50</v>
      </c>
      <c r="G67" s="8">
        <v>666</v>
      </c>
      <c r="H67" s="8">
        <v>50</v>
      </c>
      <c r="I67" s="8">
        <f t="shared" si="3"/>
        <v>33300</v>
      </c>
      <c r="J67" s="8">
        <f t="shared" si="0"/>
        <v>4995</v>
      </c>
      <c r="K67" s="11">
        <f t="shared" si="1"/>
        <v>38295</v>
      </c>
      <c r="L67" s="12"/>
    </row>
    <row r="68" spans="1:13" x14ac:dyDescent="0.3">
      <c r="A68" s="5">
        <v>46128</v>
      </c>
      <c r="B68" s="6">
        <v>234</v>
      </c>
      <c r="C68" s="6" t="s">
        <v>13</v>
      </c>
      <c r="D68" s="6" t="s">
        <v>29</v>
      </c>
      <c r="E68" s="6" t="s">
        <v>111</v>
      </c>
      <c r="F68" s="8">
        <v>55</v>
      </c>
      <c r="G68" s="8">
        <v>410</v>
      </c>
      <c r="H68" s="8">
        <v>55</v>
      </c>
      <c r="I68" s="8">
        <f t="shared" si="3"/>
        <v>22550</v>
      </c>
      <c r="J68" s="8">
        <f t="shared" si="0"/>
        <v>3382.5</v>
      </c>
      <c r="K68" s="11">
        <f t="shared" si="1"/>
        <v>25932.5</v>
      </c>
      <c r="L68" s="12"/>
    </row>
    <row r="69" spans="1:13" x14ac:dyDescent="0.3">
      <c r="A69" s="5">
        <v>46128</v>
      </c>
      <c r="B69" s="6">
        <v>235</v>
      </c>
      <c r="C69" s="6" t="s">
        <v>13</v>
      </c>
      <c r="D69" s="6" t="s">
        <v>155</v>
      </c>
      <c r="E69" s="6" t="s">
        <v>115</v>
      </c>
      <c r="F69" s="8">
        <v>450</v>
      </c>
      <c r="G69" s="8">
        <v>363</v>
      </c>
      <c r="H69" s="8">
        <v>450</v>
      </c>
      <c r="I69" s="8">
        <f t="shared" si="3"/>
        <v>163350</v>
      </c>
      <c r="J69" s="8">
        <f t="shared" si="0"/>
        <v>24502.5</v>
      </c>
      <c r="K69" s="11">
        <f t="shared" si="1"/>
        <v>187852.5</v>
      </c>
      <c r="L69" s="12"/>
    </row>
    <row r="70" spans="1:13" x14ac:dyDescent="0.3">
      <c r="A70" s="5">
        <v>46130</v>
      </c>
      <c r="B70" s="6">
        <v>236</v>
      </c>
      <c r="C70" s="6" t="s">
        <v>13</v>
      </c>
      <c r="D70" s="6" t="s">
        <v>29</v>
      </c>
      <c r="E70" s="7" t="s">
        <v>18</v>
      </c>
      <c r="F70" s="8">
        <v>9</v>
      </c>
      <c r="G70" s="8">
        <v>460</v>
      </c>
      <c r="H70" s="8">
        <v>9</v>
      </c>
      <c r="I70" s="8">
        <f t="shared" si="3"/>
        <v>4140</v>
      </c>
      <c r="J70" s="8">
        <f t="shared" si="0"/>
        <v>621</v>
      </c>
      <c r="K70" s="11">
        <f t="shared" si="1"/>
        <v>4761</v>
      </c>
      <c r="L70" s="12"/>
      <c r="M70" s="20"/>
    </row>
    <row r="71" spans="1:13" x14ac:dyDescent="0.3">
      <c r="A71" s="5">
        <v>46130</v>
      </c>
      <c r="B71" s="6">
        <v>237</v>
      </c>
      <c r="C71" s="6" t="s">
        <v>13</v>
      </c>
      <c r="D71" s="6" t="s">
        <v>156</v>
      </c>
      <c r="E71" s="6" t="s">
        <v>132</v>
      </c>
      <c r="F71" s="8">
        <v>10</v>
      </c>
      <c r="G71" s="8">
        <v>415</v>
      </c>
      <c r="H71" s="8">
        <v>10</v>
      </c>
      <c r="I71" s="8">
        <f t="shared" si="3"/>
        <v>4150</v>
      </c>
      <c r="J71" s="8">
        <f t="shared" si="0"/>
        <v>622.5</v>
      </c>
      <c r="K71" s="11">
        <f t="shared" si="1"/>
        <v>4772.5</v>
      </c>
      <c r="L71" s="12"/>
    </row>
    <row r="72" spans="1:13" x14ac:dyDescent="0.3">
      <c r="A72" s="5">
        <v>46130</v>
      </c>
      <c r="B72" s="6">
        <v>238</v>
      </c>
      <c r="C72" s="6" t="s">
        <v>158</v>
      </c>
      <c r="D72" s="6" t="s">
        <v>157</v>
      </c>
      <c r="E72" s="6" t="s">
        <v>18</v>
      </c>
      <c r="F72" s="8">
        <v>100</v>
      </c>
      <c r="G72" s="8">
        <v>460</v>
      </c>
      <c r="H72" s="8">
        <v>100</v>
      </c>
      <c r="I72" s="8">
        <f t="shared" si="3"/>
        <v>46000</v>
      </c>
      <c r="J72" s="8">
        <f t="shared" si="0"/>
        <v>6900</v>
      </c>
      <c r="K72" s="11">
        <f t="shared" si="1"/>
        <v>52900</v>
      </c>
      <c r="L72" s="12"/>
      <c r="M72" s="20"/>
    </row>
    <row r="73" spans="1:13" x14ac:dyDescent="0.3">
      <c r="A73" s="5">
        <v>46130</v>
      </c>
      <c r="B73" s="6">
        <v>239</v>
      </c>
      <c r="C73" s="6" t="s">
        <v>13</v>
      </c>
      <c r="D73" s="6" t="s">
        <v>29</v>
      </c>
      <c r="E73" s="7" t="s">
        <v>18</v>
      </c>
      <c r="F73" s="8">
        <v>15</v>
      </c>
      <c r="G73" s="8">
        <v>460</v>
      </c>
      <c r="H73" s="8">
        <v>15</v>
      </c>
      <c r="I73" s="8">
        <f t="shared" si="3"/>
        <v>6900</v>
      </c>
      <c r="J73" s="8">
        <f t="shared" si="0"/>
        <v>1035</v>
      </c>
      <c r="K73" s="11">
        <f t="shared" si="1"/>
        <v>7935</v>
      </c>
      <c r="L73" s="12"/>
      <c r="M73" s="20"/>
    </row>
    <row r="74" spans="1:13" x14ac:dyDescent="0.3">
      <c r="A74" s="5">
        <v>46130</v>
      </c>
      <c r="B74" s="6">
        <v>240</v>
      </c>
      <c r="C74" s="6" t="s">
        <v>13</v>
      </c>
      <c r="D74" s="6" t="s">
        <v>112</v>
      </c>
      <c r="E74" s="7" t="s">
        <v>30</v>
      </c>
      <c r="F74" s="8">
        <v>1</v>
      </c>
      <c r="G74" s="8">
        <v>365</v>
      </c>
      <c r="H74" s="8">
        <v>1</v>
      </c>
      <c r="I74" s="8">
        <f t="shared" si="3"/>
        <v>365</v>
      </c>
      <c r="J74" s="8">
        <f t="shared" si="0"/>
        <v>54.75</v>
      </c>
      <c r="K74" s="11">
        <f t="shared" si="1"/>
        <v>419.75</v>
      </c>
      <c r="L74" s="12"/>
      <c r="M74" s="20"/>
    </row>
    <row r="75" spans="1:13" x14ac:dyDescent="0.3">
      <c r="A75" s="5">
        <v>46130</v>
      </c>
      <c r="B75" s="6">
        <v>241</v>
      </c>
      <c r="C75" s="6" t="s">
        <v>13</v>
      </c>
      <c r="D75" s="6" t="s">
        <v>31</v>
      </c>
      <c r="E75" s="7" t="s">
        <v>132</v>
      </c>
      <c r="F75" s="8">
        <v>3</v>
      </c>
      <c r="G75" s="8">
        <v>390</v>
      </c>
      <c r="H75" s="8">
        <v>3</v>
      </c>
      <c r="I75" s="8">
        <f t="shared" si="3"/>
        <v>1170</v>
      </c>
      <c r="J75" s="8">
        <f t="shared" si="0"/>
        <v>175.5</v>
      </c>
      <c r="K75" s="11">
        <f t="shared" si="1"/>
        <v>1345.5</v>
      </c>
      <c r="L75" s="12"/>
    </row>
    <row r="76" spans="1:13" x14ac:dyDescent="0.3">
      <c r="A76" s="5">
        <v>46130</v>
      </c>
      <c r="B76" s="6">
        <v>241</v>
      </c>
      <c r="C76" s="6" t="s">
        <v>13</v>
      </c>
      <c r="D76" s="6" t="s">
        <v>31</v>
      </c>
      <c r="E76" s="6" t="s">
        <v>115</v>
      </c>
      <c r="F76" s="8">
        <v>1</v>
      </c>
      <c r="G76" s="8">
        <v>321</v>
      </c>
      <c r="H76" s="8">
        <v>1</v>
      </c>
      <c r="I76" s="8">
        <f t="shared" si="3"/>
        <v>321</v>
      </c>
      <c r="J76" s="8">
        <f t="shared" si="0"/>
        <v>48.15</v>
      </c>
      <c r="K76" s="11">
        <f t="shared" si="1"/>
        <v>369.15</v>
      </c>
      <c r="L76" s="12"/>
    </row>
    <row r="77" spans="1:13" x14ac:dyDescent="0.3">
      <c r="A77" s="60">
        <v>46131</v>
      </c>
      <c r="B77" s="61" t="s">
        <v>15</v>
      </c>
      <c r="C77" s="61"/>
      <c r="D77" s="61" t="s">
        <v>31</v>
      </c>
      <c r="E77" s="50" t="s">
        <v>132</v>
      </c>
      <c r="F77" s="62">
        <v>-3</v>
      </c>
      <c r="G77" s="62">
        <v>390</v>
      </c>
      <c r="H77" s="62">
        <v>-3</v>
      </c>
      <c r="I77" s="62">
        <f t="shared" si="3"/>
        <v>-1170</v>
      </c>
      <c r="J77" s="62">
        <f t="shared" si="0"/>
        <v>-175.5</v>
      </c>
      <c r="K77" s="65">
        <f t="shared" si="1"/>
        <v>-1345.5</v>
      </c>
      <c r="L77" s="12"/>
    </row>
    <row r="78" spans="1:13" x14ac:dyDescent="0.3">
      <c r="A78" s="60">
        <v>46131</v>
      </c>
      <c r="B78" s="61" t="s">
        <v>15</v>
      </c>
      <c r="C78" s="61"/>
      <c r="D78" s="61" t="s">
        <v>31</v>
      </c>
      <c r="E78" s="61" t="s">
        <v>115</v>
      </c>
      <c r="F78" s="62">
        <v>-1</v>
      </c>
      <c r="G78" s="62">
        <v>321</v>
      </c>
      <c r="H78" s="62">
        <v>-1</v>
      </c>
      <c r="I78" s="62">
        <f t="shared" si="3"/>
        <v>-321</v>
      </c>
      <c r="J78" s="62">
        <f t="shared" si="0"/>
        <v>-48.15</v>
      </c>
      <c r="K78" s="65">
        <f t="shared" si="1"/>
        <v>-369.15</v>
      </c>
      <c r="L78" s="12"/>
    </row>
    <row r="79" spans="1:13" x14ac:dyDescent="0.3">
      <c r="A79" s="5">
        <v>46131</v>
      </c>
      <c r="B79" s="6">
        <v>242</v>
      </c>
      <c r="C79" s="6" t="s">
        <v>13</v>
      </c>
      <c r="D79" s="6" t="s">
        <v>159</v>
      </c>
      <c r="E79" s="7" t="s">
        <v>21</v>
      </c>
      <c r="F79" s="8">
        <v>200</v>
      </c>
      <c r="G79" s="8">
        <v>455</v>
      </c>
      <c r="H79" s="8">
        <v>200</v>
      </c>
      <c r="I79" s="8">
        <f t="shared" si="3"/>
        <v>91000</v>
      </c>
      <c r="J79" s="8">
        <f t="shared" si="0"/>
        <v>13650</v>
      </c>
      <c r="K79" s="11">
        <f t="shared" si="1"/>
        <v>104650</v>
      </c>
      <c r="L79" s="12"/>
      <c r="M79" s="20"/>
    </row>
    <row r="80" spans="1:13" x14ac:dyDescent="0.3">
      <c r="A80" s="5">
        <v>46131</v>
      </c>
      <c r="B80" s="6">
        <v>242</v>
      </c>
      <c r="C80" s="6" t="s">
        <v>13</v>
      </c>
      <c r="D80" s="6" t="s">
        <v>159</v>
      </c>
      <c r="E80" s="6" t="s">
        <v>142</v>
      </c>
      <c r="F80" s="8">
        <v>725</v>
      </c>
      <c r="G80" s="8">
        <v>460</v>
      </c>
      <c r="H80" s="8">
        <v>725</v>
      </c>
      <c r="I80" s="8">
        <f t="shared" si="3"/>
        <v>333500</v>
      </c>
      <c r="J80" s="8">
        <f t="shared" si="0"/>
        <v>50025</v>
      </c>
      <c r="K80" s="11">
        <f t="shared" si="1"/>
        <v>383525</v>
      </c>
      <c r="L80" s="12"/>
    </row>
    <row r="81" spans="1:13" x14ac:dyDescent="0.3">
      <c r="A81" s="5">
        <v>46131</v>
      </c>
      <c r="B81" s="6">
        <v>243</v>
      </c>
      <c r="C81" s="6" t="s">
        <v>13</v>
      </c>
      <c r="D81" s="6" t="s">
        <v>160</v>
      </c>
      <c r="E81" s="6" t="s">
        <v>18</v>
      </c>
      <c r="F81" s="8">
        <v>20</v>
      </c>
      <c r="G81" s="8">
        <v>460</v>
      </c>
      <c r="H81" s="8">
        <v>20</v>
      </c>
      <c r="I81" s="8">
        <f t="shared" si="3"/>
        <v>9200</v>
      </c>
      <c r="J81" s="8">
        <f t="shared" si="0"/>
        <v>1380</v>
      </c>
      <c r="K81" s="11">
        <f t="shared" si="1"/>
        <v>10580</v>
      </c>
      <c r="L81" s="12"/>
    </row>
    <row r="82" spans="1:13" x14ac:dyDescent="0.3">
      <c r="A82" s="5">
        <v>46132</v>
      </c>
      <c r="B82" s="6">
        <v>244</v>
      </c>
      <c r="C82" s="6" t="s">
        <v>13</v>
      </c>
      <c r="D82" s="6" t="s">
        <v>161</v>
      </c>
      <c r="E82" s="7" t="s">
        <v>133</v>
      </c>
      <c r="F82" s="8">
        <v>133</v>
      </c>
      <c r="G82" s="8">
        <v>32</v>
      </c>
      <c r="H82" s="8">
        <v>2476.9899999999998</v>
      </c>
      <c r="I82" s="8">
        <f t="shared" si="3"/>
        <v>79263.679999999993</v>
      </c>
      <c r="J82" s="8">
        <f t="shared" si="0"/>
        <v>11889.551999999998</v>
      </c>
      <c r="K82" s="11">
        <f t="shared" si="1"/>
        <v>91153.231999999989</v>
      </c>
      <c r="L82" s="12"/>
    </row>
    <row r="83" spans="1:13" x14ac:dyDescent="0.3">
      <c r="A83" s="5">
        <v>46132</v>
      </c>
      <c r="B83" s="6">
        <v>245</v>
      </c>
      <c r="C83" s="6" t="s">
        <v>158</v>
      </c>
      <c r="D83" s="7" t="s">
        <v>131</v>
      </c>
      <c r="E83" s="6" t="s">
        <v>133</v>
      </c>
      <c r="F83" s="8">
        <v>10</v>
      </c>
      <c r="G83" s="8">
        <v>35</v>
      </c>
      <c r="H83" s="8">
        <v>185.46</v>
      </c>
      <c r="I83" s="8">
        <f t="shared" si="3"/>
        <v>6491.1</v>
      </c>
      <c r="J83" s="8">
        <f t="shared" si="0"/>
        <v>973.66499999999996</v>
      </c>
      <c r="K83" s="69">
        <f t="shared" si="1"/>
        <v>7464.7650000000003</v>
      </c>
      <c r="L83" s="70"/>
    </row>
    <row r="84" spans="1:13" x14ac:dyDescent="0.3">
      <c r="A84" s="5">
        <v>46132</v>
      </c>
      <c r="B84" s="6">
        <v>246</v>
      </c>
      <c r="C84" s="6" t="s">
        <v>158</v>
      </c>
      <c r="D84" s="6" t="s">
        <v>162</v>
      </c>
      <c r="E84" s="6" t="s">
        <v>172</v>
      </c>
      <c r="F84" s="8">
        <v>10</v>
      </c>
      <c r="G84" s="8">
        <v>29</v>
      </c>
      <c r="H84" s="8">
        <v>211.61</v>
      </c>
      <c r="I84" s="8">
        <f t="shared" si="3"/>
        <v>6136.6900000000005</v>
      </c>
      <c r="J84" s="8">
        <f t="shared" si="0"/>
        <v>920.50350000000003</v>
      </c>
      <c r="K84" s="69">
        <f t="shared" si="1"/>
        <v>7057.1935000000003</v>
      </c>
      <c r="L84" s="70"/>
    </row>
    <row r="85" spans="1:13" x14ac:dyDescent="0.3">
      <c r="A85" s="5">
        <v>46132</v>
      </c>
      <c r="B85" s="6">
        <v>246</v>
      </c>
      <c r="C85" s="6" t="s">
        <v>158</v>
      </c>
      <c r="D85" s="6" t="s">
        <v>162</v>
      </c>
      <c r="E85" s="6" t="s">
        <v>88</v>
      </c>
      <c r="F85" s="8">
        <v>20</v>
      </c>
      <c r="G85" s="8">
        <v>28</v>
      </c>
      <c r="H85" s="8">
        <v>434.61</v>
      </c>
      <c r="I85" s="8">
        <f t="shared" si="3"/>
        <v>12169.08</v>
      </c>
      <c r="J85" s="8">
        <f t="shared" si="0"/>
        <v>1825.3619999999999</v>
      </c>
      <c r="K85" s="69">
        <f t="shared" si="1"/>
        <v>13994.441999999999</v>
      </c>
      <c r="L85" s="70"/>
    </row>
    <row r="86" spans="1:13" x14ac:dyDescent="0.3">
      <c r="A86" s="5">
        <v>46132</v>
      </c>
      <c r="B86" s="6">
        <v>246</v>
      </c>
      <c r="C86" s="6" t="s">
        <v>158</v>
      </c>
      <c r="D86" s="6" t="s">
        <v>162</v>
      </c>
      <c r="E86" s="6" t="s">
        <v>18</v>
      </c>
      <c r="F86" s="8">
        <v>3</v>
      </c>
      <c r="G86" s="8">
        <v>460</v>
      </c>
      <c r="H86" s="8">
        <v>3</v>
      </c>
      <c r="I86" s="8">
        <f t="shared" si="3"/>
        <v>1380</v>
      </c>
      <c r="J86" s="8">
        <f t="shared" si="0"/>
        <v>207</v>
      </c>
      <c r="K86" s="69">
        <f t="shared" si="1"/>
        <v>1587</v>
      </c>
      <c r="L86" s="70"/>
    </row>
    <row r="87" spans="1:13" x14ac:dyDescent="0.3">
      <c r="A87" s="5">
        <v>46133</v>
      </c>
      <c r="B87" s="6">
        <v>247</v>
      </c>
      <c r="C87" s="6" t="s">
        <v>13</v>
      </c>
      <c r="D87" s="7" t="s">
        <v>164</v>
      </c>
      <c r="E87" s="6" t="s">
        <v>165</v>
      </c>
      <c r="F87" s="8">
        <v>122</v>
      </c>
      <c r="G87" s="8">
        <v>167</v>
      </c>
      <c r="H87" s="8">
        <v>122</v>
      </c>
      <c r="I87" s="8">
        <f t="shared" si="3"/>
        <v>20374</v>
      </c>
      <c r="J87" s="8">
        <f t="shared" si="0"/>
        <v>3056.1</v>
      </c>
      <c r="K87" s="11">
        <f t="shared" si="1"/>
        <v>23430.1</v>
      </c>
      <c r="L87" s="12"/>
      <c r="M87" s="20"/>
    </row>
    <row r="88" spans="1:13" x14ac:dyDescent="0.3">
      <c r="A88" s="5">
        <v>46133</v>
      </c>
      <c r="B88" s="6">
        <v>248</v>
      </c>
      <c r="C88" s="6" t="s">
        <v>13</v>
      </c>
      <c r="D88" s="6" t="s">
        <v>166</v>
      </c>
      <c r="E88" s="6" t="s">
        <v>88</v>
      </c>
      <c r="F88" s="8">
        <v>50</v>
      </c>
      <c r="G88" s="8">
        <v>27.5</v>
      </c>
      <c r="H88" s="8">
        <v>1131.76</v>
      </c>
      <c r="I88" s="8">
        <f t="shared" si="3"/>
        <v>31123.4</v>
      </c>
      <c r="J88" s="8">
        <f t="shared" si="0"/>
        <v>4668.51</v>
      </c>
      <c r="K88" s="11">
        <f t="shared" si="1"/>
        <v>35791.910000000003</v>
      </c>
      <c r="L88" s="70"/>
      <c r="M88" s="83"/>
    </row>
    <row r="89" spans="1:13" x14ac:dyDescent="0.3">
      <c r="A89" s="5">
        <v>46134</v>
      </c>
      <c r="B89" s="6">
        <v>249</v>
      </c>
      <c r="C89" s="6" t="s">
        <v>13</v>
      </c>
      <c r="D89" s="6" t="s">
        <v>167</v>
      </c>
      <c r="E89" s="6" t="s">
        <v>169</v>
      </c>
      <c r="F89" s="8">
        <v>10</v>
      </c>
      <c r="G89" s="8">
        <v>666</v>
      </c>
      <c r="H89" s="8">
        <v>10</v>
      </c>
      <c r="I89" s="8">
        <f t="shared" si="3"/>
        <v>6660</v>
      </c>
      <c r="J89" s="8">
        <f t="shared" si="0"/>
        <v>999</v>
      </c>
      <c r="K89" s="11">
        <f t="shared" si="1"/>
        <v>7659</v>
      </c>
      <c r="L89" s="84"/>
      <c r="M89" s="85"/>
    </row>
    <row r="90" spans="1:13" x14ac:dyDescent="0.3">
      <c r="A90" s="5">
        <v>46134</v>
      </c>
      <c r="B90" s="6">
        <v>250</v>
      </c>
      <c r="C90" s="6" t="s">
        <v>13</v>
      </c>
      <c r="D90" s="6" t="s">
        <v>168</v>
      </c>
      <c r="E90" s="6" t="s">
        <v>133</v>
      </c>
      <c r="F90" s="8">
        <v>25</v>
      </c>
      <c r="G90" s="8">
        <v>35</v>
      </c>
      <c r="H90" s="8">
        <v>510.11</v>
      </c>
      <c r="I90" s="8">
        <f t="shared" si="3"/>
        <v>17853.850000000002</v>
      </c>
      <c r="J90" s="8">
        <f t="shared" si="0"/>
        <v>2678.0775000000003</v>
      </c>
      <c r="K90" s="11">
        <f t="shared" si="1"/>
        <v>20531.927500000002</v>
      </c>
      <c r="L90" s="70"/>
      <c r="M90" s="83"/>
    </row>
    <row r="91" spans="1:13" x14ac:dyDescent="0.3">
      <c r="A91" s="5">
        <v>46134</v>
      </c>
      <c r="B91" s="6">
        <v>250</v>
      </c>
      <c r="C91" s="6" t="s">
        <v>13</v>
      </c>
      <c r="D91" s="6" t="s">
        <v>168</v>
      </c>
      <c r="E91" s="6" t="s">
        <v>21</v>
      </c>
      <c r="F91" s="8">
        <v>25</v>
      </c>
      <c r="G91" s="8">
        <v>445</v>
      </c>
      <c r="H91" s="8">
        <v>25</v>
      </c>
      <c r="I91" s="8">
        <f t="shared" si="3"/>
        <v>11125</v>
      </c>
      <c r="J91" s="8">
        <f t="shared" si="0"/>
        <v>1668.75</v>
      </c>
      <c r="K91" s="11">
        <f t="shared" si="1"/>
        <v>12793.75</v>
      </c>
      <c r="L91" s="70"/>
      <c r="M91" s="20"/>
    </row>
    <row r="92" spans="1:13" x14ac:dyDescent="0.3">
      <c r="A92" s="5">
        <v>46134</v>
      </c>
      <c r="B92" s="6">
        <v>251</v>
      </c>
      <c r="C92" s="6" t="s">
        <v>13</v>
      </c>
      <c r="D92" s="7" t="s">
        <v>185</v>
      </c>
      <c r="E92" s="6" t="s">
        <v>21</v>
      </c>
      <c r="F92" s="8">
        <v>150</v>
      </c>
      <c r="G92" s="8">
        <v>440</v>
      </c>
      <c r="H92" s="8">
        <v>150</v>
      </c>
      <c r="I92" s="8">
        <f t="shared" si="3"/>
        <v>66000</v>
      </c>
      <c r="J92" s="8">
        <f t="shared" si="0"/>
        <v>9900</v>
      </c>
      <c r="K92" s="11">
        <f t="shared" si="1"/>
        <v>75900</v>
      </c>
      <c r="L92" s="12"/>
      <c r="M92" s="20"/>
    </row>
    <row r="93" spans="1:13" x14ac:dyDescent="0.3">
      <c r="A93" s="5">
        <v>46134</v>
      </c>
      <c r="B93" s="6">
        <v>252</v>
      </c>
      <c r="C93" s="6" t="s">
        <v>13</v>
      </c>
      <c r="D93" s="6" t="s">
        <v>49</v>
      </c>
      <c r="E93" s="6" t="s">
        <v>21</v>
      </c>
      <c r="F93" s="8">
        <v>1177</v>
      </c>
      <c r="G93" s="8">
        <v>440</v>
      </c>
      <c r="H93" s="8">
        <v>1177</v>
      </c>
      <c r="I93" s="8">
        <f t="shared" si="3"/>
        <v>517880</v>
      </c>
      <c r="J93" s="8">
        <f t="shared" si="0"/>
        <v>77682</v>
      </c>
      <c r="K93" s="11">
        <f t="shared" si="1"/>
        <v>595562</v>
      </c>
      <c r="L93" s="12"/>
    </row>
    <row r="94" spans="1:13" x14ac:dyDescent="0.3">
      <c r="A94" s="5">
        <v>46134</v>
      </c>
      <c r="B94" s="6">
        <v>253</v>
      </c>
      <c r="C94" s="6" t="s">
        <v>13</v>
      </c>
      <c r="D94" s="6" t="s">
        <v>129</v>
      </c>
      <c r="E94" s="6" t="s">
        <v>65</v>
      </c>
      <c r="F94" s="8">
        <v>50</v>
      </c>
      <c r="G94" s="8">
        <v>195</v>
      </c>
      <c r="H94" s="8">
        <v>50</v>
      </c>
      <c r="I94" s="8">
        <f t="shared" si="3"/>
        <v>9750</v>
      </c>
      <c r="J94" s="8">
        <f t="shared" si="0"/>
        <v>1462.5</v>
      </c>
      <c r="K94" s="11">
        <f t="shared" si="1"/>
        <v>11212.5</v>
      </c>
      <c r="L94" s="70"/>
      <c r="M94" s="83"/>
    </row>
    <row r="95" spans="1:13" x14ac:dyDescent="0.3">
      <c r="A95" s="5">
        <v>46134</v>
      </c>
      <c r="B95" s="6">
        <v>253</v>
      </c>
      <c r="C95" s="6" t="s">
        <v>13</v>
      </c>
      <c r="D95" s="6" t="s">
        <v>129</v>
      </c>
      <c r="E95" s="6" t="s">
        <v>16</v>
      </c>
      <c r="F95" s="8">
        <v>50</v>
      </c>
      <c r="G95" s="8">
        <v>205</v>
      </c>
      <c r="H95" s="8">
        <v>50</v>
      </c>
      <c r="I95" s="8">
        <f t="shared" si="3"/>
        <v>10250</v>
      </c>
      <c r="J95" s="8">
        <f t="shared" si="0"/>
        <v>1537.5</v>
      </c>
      <c r="K95" s="11">
        <f t="shared" si="1"/>
        <v>11787.5</v>
      </c>
      <c r="L95" s="70"/>
      <c r="M95" s="20"/>
    </row>
    <row r="96" spans="1:13" x14ac:dyDescent="0.3">
      <c r="A96" s="5">
        <v>46134</v>
      </c>
      <c r="B96" s="6">
        <v>253</v>
      </c>
      <c r="C96" s="6" t="s">
        <v>13</v>
      </c>
      <c r="D96" s="6" t="s">
        <v>129</v>
      </c>
      <c r="E96" s="6" t="s">
        <v>169</v>
      </c>
      <c r="F96" s="8">
        <v>30</v>
      </c>
      <c r="G96" s="8">
        <v>666</v>
      </c>
      <c r="H96" s="8">
        <v>30</v>
      </c>
      <c r="I96" s="8">
        <f t="shared" si="3"/>
        <v>19980</v>
      </c>
      <c r="J96" s="8">
        <f t="shared" si="0"/>
        <v>2997</v>
      </c>
      <c r="K96" s="11">
        <f t="shared" si="1"/>
        <v>22977</v>
      </c>
      <c r="L96" s="70"/>
      <c r="M96" s="20"/>
    </row>
    <row r="97" spans="1:13" x14ac:dyDescent="0.3">
      <c r="A97" s="5">
        <v>46134</v>
      </c>
      <c r="B97" s="6">
        <v>253</v>
      </c>
      <c r="C97" s="6" t="s">
        <v>13</v>
      </c>
      <c r="D97" s="6" t="s">
        <v>129</v>
      </c>
      <c r="E97" s="6" t="s">
        <v>127</v>
      </c>
      <c r="F97" s="8">
        <v>25</v>
      </c>
      <c r="G97" s="8">
        <v>32</v>
      </c>
      <c r="H97" s="8">
        <v>438.27</v>
      </c>
      <c r="I97" s="8">
        <f t="shared" si="3"/>
        <v>14024.64</v>
      </c>
      <c r="J97" s="8">
        <f t="shared" si="0"/>
        <v>2103.6959999999999</v>
      </c>
      <c r="K97" s="11">
        <f t="shared" si="1"/>
        <v>16128.335999999999</v>
      </c>
      <c r="L97" s="70"/>
      <c r="M97" s="20"/>
    </row>
    <row r="98" spans="1:13" x14ac:dyDescent="0.3">
      <c r="A98" s="5">
        <v>46134</v>
      </c>
      <c r="B98" s="6">
        <v>254</v>
      </c>
      <c r="C98" s="6" t="s">
        <v>13</v>
      </c>
      <c r="D98" s="6" t="s">
        <v>170</v>
      </c>
      <c r="E98" s="6" t="s">
        <v>171</v>
      </c>
      <c r="F98" s="8">
        <v>200</v>
      </c>
      <c r="G98" s="8">
        <v>469</v>
      </c>
      <c r="H98" s="8">
        <v>200</v>
      </c>
      <c r="I98" s="8">
        <f t="shared" si="3"/>
        <v>93800</v>
      </c>
      <c r="J98" s="8">
        <f t="shared" si="0"/>
        <v>14070</v>
      </c>
      <c r="K98" s="11">
        <f t="shared" si="1"/>
        <v>107870</v>
      </c>
      <c r="L98" s="12"/>
    </row>
    <row r="99" spans="1:13" x14ac:dyDescent="0.3">
      <c r="A99" s="60">
        <v>46134</v>
      </c>
      <c r="B99" s="61" t="s">
        <v>15</v>
      </c>
      <c r="C99" s="61" t="s">
        <v>13</v>
      </c>
      <c r="D99" s="61" t="s">
        <v>170</v>
      </c>
      <c r="E99" s="61" t="s">
        <v>171</v>
      </c>
      <c r="F99" s="62">
        <v>-200</v>
      </c>
      <c r="G99" s="62">
        <v>469</v>
      </c>
      <c r="H99" s="62">
        <v>-200</v>
      </c>
      <c r="I99" s="62">
        <f t="shared" si="3"/>
        <v>-93800</v>
      </c>
      <c r="J99" s="62">
        <f t="shared" si="0"/>
        <v>-14070</v>
      </c>
      <c r="K99" s="65">
        <f t="shared" si="1"/>
        <v>-107870</v>
      </c>
      <c r="L99" s="66"/>
    </row>
    <row r="100" spans="1:13" x14ac:dyDescent="0.3">
      <c r="A100" s="5">
        <v>46134</v>
      </c>
      <c r="B100" s="6">
        <v>255</v>
      </c>
      <c r="C100" s="6" t="s">
        <v>158</v>
      </c>
      <c r="D100" s="6" t="s">
        <v>162</v>
      </c>
      <c r="E100" s="6" t="s">
        <v>172</v>
      </c>
      <c r="F100" s="8">
        <v>30</v>
      </c>
      <c r="G100" s="8">
        <v>29</v>
      </c>
      <c r="H100" s="8">
        <v>634.73</v>
      </c>
      <c r="I100" s="8">
        <f t="shared" si="3"/>
        <v>18407.170000000002</v>
      </c>
      <c r="J100" s="8">
        <f t="shared" si="0"/>
        <v>2761.0755000000004</v>
      </c>
      <c r="K100" s="11">
        <f t="shared" si="1"/>
        <v>21168.245500000001</v>
      </c>
      <c r="L100" s="70"/>
      <c r="M100" s="83"/>
    </row>
    <row r="101" spans="1:13" x14ac:dyDescent="0.3">
      <c r="A101" s="5">
        <v>46135</v>
      </c>
      <c r="B101" s="6">
        <v>256</v>
      </c>
      <c r="C101" s="6" t="s">
        <v>13</v>
      </c>
      <c r="D101" s="6" t="s">
        <v>29</v>
      </c>
      <c r="E101" s="6" t="s">
        <v>18</v>
      </c>
      <c r="F101" s="8">
        <v>5</v>
      </c>
      <c r="G101" s="8">
        <v>460</v>
      </c>
      <c r="H101" s="8">
        <v>5</v>
      </c>
      <c r="I101" s="8">
        <f t="shared" si="3"/>
        <v>2300</v>
      </c>
      <c r="J101" s="8">
        <f t="shared" si="0"/>
        <v>345</v>
      </c>
      <c r="K101" s="11">
        <f t="shared" si="1"/>
        <v>2645</v>
      </c>
      <c r="L101" s="70"/>
      <c r="M101" s="83"/>
    </row>
    <row r="102" spans="1:13" x14ac:dyDescent="0.3">
      <c r="A102" s="5">
        <v>46135</v>
      </c>
      <c r="B102" s="6">
        <v>257</v>
      </c>
      <c r="C102" s="6" t="s">
        <v>158</v>
      </c>
      <c r="D102" s="6" t="s">
        <v>174</v>
      </c>
      <c r="E102" s="6" t="s">
        <v>122</v>
      </c>
      <c r="F102" s="8">
        <v>10</v>
      </c>
      <c r="G102" s="8">
        <v>410</v>
      </c>
      <c r="H102" s="8">
        <v>10</v>
      </c>
      <c r="I102" s="8">
        <f t="shared" si="3"/>
        <v>4100</v>
      </c>
      <c r="J102" s="8">
        <f t="shared" si="0"/>
        <v>615</v>
      </c>
      <c r="K102" s="11">
        <f t="shared" si="1"/>
        <v>4715</v>
      </c>
      <c r="L102" s="12"/>
      <c r="M102" s="20"/>
    </row>
    <row r="103" spans="1:13" x14ac:dyDescent="0.3">
      <c r="A103" s="5">
        <v>46135</v>
      </c>
      <c r="B103" s="6">
        <v>257</v>
      </c>
      <c r="C103" s="6" t="s">
        <v>158</v>
      </c>
      <c r="D103" s="6" t="s">
        <v>174</v>
      </c>
      <c r="E103" s="6" t="s">
        <v>18</v>
      </c>
      <c r="F103" s="8">
        <v>50</v>
      </c>
      <c r="G103" s="8">
        <v>460</v>
      </c>
      <c r="H103" s="8">
        <v>50</v>
      </c>
      <c r="I103" s="8">
        <f t="shared" si="3"/>
        <v>23000</v>
      </c>
      <c r="J103" s="8">
        <f t="shared" si="0"/>
        <v>3450</v>
      </c>
      <c r="K103" s="11">
        <f t="shared" si="1"/>
        <v>26450</v>
      </c>
      <c r="L103" s="12"/>
    </row>
    <row r="104" spans="1:13" x14ac:dyDescent="0.3">
      <c r="A104" s="5">
        <v>46135</v>
      </c>
      <c r="B104" s="6">
        <v>258</v>
      </c>
      <c r="C104" s="6" t="s">
        <v>158</v>
      </c>
      <c r="D104" s="6" t="s">
        <v>175</v>
      </c>
      <c r="E104" s="6" t="s">
        <v>24</v>
      </c>
      <c r="F104" s="8">
        <v>10</v>
      </c>
      <c r="G104" s="8">
        <v>1080</v>
      </c>
      <c r="H104" s="8">
        <v>10</v>
      </c>
      <c r="I104" s="8">
        <f t="shared" si="3"/>
        <v>10800</v>
      </c>
      <c r="J104" s="8">
        <f t="shared" si="0"/>
        <v>1620</v>
      </c>
      <c r="K104" s="86">
        <f t="shared" si="1"/>
        <v>12420</v>
      </c>
      <c r="L104" s="84"/>
      <c r="M104" s="87"/>
    </row>
    <row r="105" spans="1:13" x14ac:dyDescent="0.3">
      <c r="A105" s="5">
        <v>46135</v>
      </c>
      <c r="B105" s="6">
        <v>259</v>
      </c>
      <c r="C105" s="6" t="s">
        <v>13</v>
      </c>
      <c r="D105" s="6" t="s">
        <v>168</v>
      </c>
      <c r="E105" s="6" t="s">
        <v>88</v>
      </c>
      <c r="F105" s="8">
        <v>100</v>
      </c>
      <c r="G105" s="8">
        <v>27.5</v>
      </c>
      <c r="H105" s="8">
        <v>2130.75</v>
      </c>
      <c r="I105" s="8">
        <f t="shared" si="3"/>
        <v>58595.625</v>
      </c>
      <c r="J105" s="8">
        <f t="shared" si="0"/>
        <v>8789.34375</v>
      </c>
      <c r="K105" s="11">
        <f t="shared" si="1"/>
        <v>67384.96875</v>
      </c>
      <c r="L105" s="12"/>
    </row>
    <row r="106" spans="1:13" x14ac:dyDescent="0.3">
      <c r="A106" s="5">
        <v>46135</v>
      </c>
      <c r="B106" s="6">
        <v>260</v>
      </c>
      <c r="C106" s="6" t="s">
        <v>13</v>
      </c>
      <c r="D106" s="6" t="s">
        <v>176</v>
      </c>
      <c r="E106" s="6" t="s">
        <v>18</v>
      </c>
      <c r="F106" s="8">
        <v>20</v>
      </c>
      <c r="G106" s="8">
        <v>460</v>
      </c>
      <c r="H106" s="8">
        <v>20</v>
      </c>
      <c r="I106" s="8">
        <f t="shared" si="3"/>
        <v>9200</v>
      </c>
      <c r="J106" s="8">
        <f t="shared" si="0"/>
        <v>1380</v>
      </c>
      <c r="K106" s="69">
        <f t="shared" si="1"/>
        <v>10580</v>
      </c>
      <c r="L106" s="70"/>
      <c r="M106" s="82"/>
    </row>
    <row r="107" spans="1:13" x14ac:dyDescent="0.3">
      <c r="A107" s="5">
        <v>46135</v>
      </c>
      <c r="B107" s="6">
        <v>261</v>
      </c>
      <c r="C107" s="6" t="s">
        <v>13</v>
      </c>
      <c r="D107" s="6" t="s">
        <v>177</v>
      </c>
      <c r="E107" s="6" t="s">
        <v>88</v>
      </c>
      <c r="F107" s="8">
        <v>7</v>
      </c>
      <c r="G107" s="8">
        <v>28</v>
      </c>
      <c r="H107" s="8">
        <v>158.79</v>
      </c>
      <c r="I107" s="8">
        <f t="shared" si="3"/>
        <v>4446.12</v>
      </c>
      <c r="J107" s="8">
        <f t="shared" si="0"/>
        <v>666.91800000000001</v>
      </c>
      <c r="K107" s="11">
        <f t="shared" si="1"/>
        <v>5113.0379999999996</v>
      </c>
      <c r="L107" s="70"/>
      <c r="M107" s="82"/>
    </row>
    <row r="108" spans="1:13" x14ac:dyDescent="0.3">
      <c r="A108" s="5">
        <v>46135</v>
      </c>
      <c r="B108" s="6">
        <v>262</v>
      </c>
      <c r="C108" s="6" t="s">
        <v>13</v>
      </c>
      <c r="D108" s="7" t="s">
        <v>185</v>
      </c>
      <c r="E108" s="6" t="s">
        <v>21</v>
      </c>
      <c r="F108" s="8">
        <v>100</v>
      </c>
      <c r="G108" s="8">
        <v>440</v>
      </c>
      <c r="H108" s="8">
        <v>100</v>
      </c>
      <c r="I108" s="8">
        <f t="shared" si="3"/>
        <v>44000</v>
      </c>
      <c r="J108" s="8">
        <f t="shared" si="0"/>
        <v>6600</v>
      </c>
      <c r="K108" s="11">
        <f t="shared" si="1"/>
        <v>50600</v>
      </c>
      <c r="L108" s="12"/>
    </row>
    <row r="109" spans="1:13" x14ac:dyDescent="0.3">
      <c r="A109" s="5">
        <v>46135</v>
      </c>
      <c r="B109" s="6">
        <v>263</v>
      </c>
      <c r="C109" s="6" t="s">
        <v>13</v>
      </c>
      <c r="D109" s="6" t="s">
        <v>178</v>
      </c>
      <c r="E109" s="6" t="s">
        <v>88</v>
      </c>
      <c r="F109" s="8">
        <v>6</v>
      </c>
      <c r="G109" s="8">
        <v>27.75</v>
      </c>
      <c r="H109" s="8">
        <v>123.18</v>
      </c>
      <c r="I109" s="8">
        <f t="shared" si="3"/>
        <v>3418.2450000000003</v>
      </c>
      <c r="J109" s="8">
        <f t="shared" si="0"/>
        <v>512.73675000000003</v>
      </c>
      <c r="K109" s="11">
        <f t="shared" si="1"/>
        <v>3930.9817500000004</v>
      </c>
      <c r="L109" s="70"/>
      <c r="M109" s="83"/>
    </row>
    <row r="110" spans="1:13" x14ac:dyDescent="0.3">
      <c r="A110" s="5">
        <v>46135</v>
      </c>
      <c r="B110" s="6">
        <v>264</v>
      </c>
      <c r="C110" s="6" t="s">
        <v>13</v>
      </c>
      <c r="D110" s="6" t="s">
        <v>167</v>
      </c>
      <c r="E110" s="6" t="s">
        <v>18</v>
      </c>
      <c r="F110" s="8">
        <v>50</v>
      </c>
      <c r="G110" s="8">
        <v>460</v>
      </c>
      <c r="H110" s="8">
        <v>50</v>
      </c>
      <c r="I110" s="8">
        <f t="shared" si="3"/>
        <v>23000</v>
      </c>
      <c r="J110" s="8">
        <f t="shared" si="0"/>
        <v>3450</v>
      </c>
      <c r="K110" s="11">
        <f t="shared" si="1"/>
        <v>26450</v>
      </c>
      <c r="L110" s="70"/>
      <c r="M110" s="82"/>
    </row>
    <row r="111" spans="1:13" x14ac:dyDescent="0.3">
      <c r="A111" s="88">
        <v>46135</v>
      </c>
      <c r="B111" s="89">
        <v>265</v>
      </c>
      <c r="C111" s="89" t="s">
        <v>186</v>
      </c>
      <c r="D111" s="89" t="s">
        <v>187</v>
      </c>
      <c r="E111" s="89" t="s">
        <v>21</v>
      </c>
      <c r="F111" s="90">
        <v>901</v>
      </c>
      <c r="G111" s="90">
        <v>452</v>
      </c>
      <c r="H111" s="90">
        <v>901</v>
      </c>
      <c r="I111" s="90">
        <f t="shared" si="3"/>
        <v>407252</v>
      </c>
      <c r="J111" s="90">
        <f t="shared" si="0"/>
        <v>61087.799999999996</v>
      </c>
      <c r="K111" s="91">
        <f t="shared" si="1"/>
        <v>468339.8</v>
      </c>
      <c r="L111" s="70"/>
      <c r="M111" s="82"/>
    </row>
    <row r="112" spans="1:13" x14ac:dyDescent="0.3">
      <c r="A112" s="88">
        <v>46135</v>
      </c>
      <c r="B112" s="89">
        <v>265</v>
      </c>
      <c r="C112" s="89" t="s">
        <v>186</v>
      </c>
      <c r="D112" s="89" t="s">
        <v>187</v>
      </c>
      <c r="E112" s="89" t="s">
        <v>18</v>
      </c>
      <c r="F112" s="90">
        <v>569</v>
      </c>
      <c r="G112" s="90">
        <v>460</v>
      </c>
      <c r="H112" s="90">
        <v>569</v>
      </c>
      <c r="I112" s="90">
        <f t="shared" si="3"/>
        <v>261740</v>
      </c>
      <c r="J112" s="90">
        <f t="shared" si="0"/>
        <v>39261</v>
      </c>
      <c r="K112" s="91">
        <f t="shared" si="1"/>
        <v>301001</v>
      </c>
      <c r="L112" s="70"/>
      <c r="M112" s="82"/>
    </row>
    <row r="113" spans="1:13" x14ac:dyDescent="0.3">
      <c r="A113" s="88">
        <v>46135</v>
      </c>
      <c r="B113" s="89">
        <v>265</v>
      </c>
      <c r="C113" s="89" t="s">
        <v>186</v>
      </c>
      <c r="D113" s="89" t="s">
        <v>187</v>
      </c>
      <c r="E113" s="89" t="s">
        <v>24</v>
      </c>
      <c r="F113" s="90">
        <v>30</v>
      </c>
      <c r="G113" s="90">
        <v>980</v>
      </c>
      <c r="H113" s="90">
        <v>30</v>
      </c>
      <c r="I113" s="90">
        <f t="shared" si="3"/>
        <v>29400</v>
      </c>
      <c r="J113" s="90">
        <f t="shared" si="0"/>
        <v>4410</v>
      </c>
      <c r="K113" s="91">
        <f t="shared" si="1"/>
        <v>33810</v>
      </c>
      <c r="L113" s="70"/>
      <c r="M113" s="82"/>
    </row>
    <row r="114" spans="1:13" x14ac:dyDescent="0.3">
      <c r="A114" s="88">
        <v>46135</v>
      </c>
      <c r="B114" s="89">
        <v>266</v>
      </c>
      <c r="C114" s="89" t="s">
        <v>186</v>
      </c>
      <c r="D114" s="89" t="s">
        <v>187</v>
      </c>
      <c r="E114" s="89" t="s">
        <v>115</v>
      </c>
      <c r="F114" s="90">
        <v>1350</v>
      </c>
      <c r="G114" s="90">
        <v>362</v>
      </c>
      <c r="H114" s="90">
        <v>1350</v>
      </c>
      <c r="I114" s="90">
        <f t="shared" si="3"/>
        <v>488700</v>
      </c>
      <c r="J114" s="90">
        <f t="shared" si="0"/>
        <v>73305</v>
      </c>
      <c r="K114" s="91">
        <f t="shared" si="1"/>
        <v>562005</v>
      </c>
      <c r="L114" s="70"/>
      <c r="M114" s="82"/>
    </row>
    <row r="115" spans="1:13" x14ac:dyDescent="0.3">
      <c r="A115" s="88">
        <v>46135</v>
      </c>
      <c r="B115" s="89">
        <v>266</v>
      </c>
      <c r="C115" s="89" t="s">
        <v>186</v>
      </c>
      <c r="D115" s="89" t="s">
        <v>187</v>
      </c>
      <c r="E115" s="89" t="s">
        <v>132</v>
      </c>
      <c r="F115" s="90">
        <v>882</v>
      </c>
      <c r="G115" s="90">
        <v>410</v>
      </c>
      <c r="H115" s="90">
        <v>882</v>
      </c>
      <c r="I115" s="90">
        <f t="shared" si="3"/>
        <v>361620</v>
      </c>
      <c r="J115" s="90">
        <f t="shared" si="0"/>
        <v>54243</v>
      </c>
      <c r="K115" s="91">
        <f t="shared" si="1"/>
        <v>415863</v>
      </c>
      <c r="L115" s="70"/>
      <c r="M115" s="82"/>
    </row>
    <row r="116" spans="1:13" x14ac:dyDescent="0.3">
      <c r="A116" s="88">
        <v>46135</v>
      </c>
      <c r="B116" s="89">
        <v>266</v>
      </c>
      <c r="C116" s="89" t="s">
        <v>186</v>
      </c>
      <c r="D116" s="89" t="s">
        <v>187</v>
      </c>
      <c r="E116" s="89" t="s">
        <v>169</v>
      </c>
      <c r="F116" s="90">
        <v>350</v>
      </c>
      <c r="G116" s="90">
        <v>645</v>
      </c>
      <c r="H116" s="90">
        <v>350</v>
      </c>
      <c r="I116" s="90">
        <f t="shared" si="3"/>
        <v>225750</v>
      </c>
      <c r="J116" s="90">
        <f t="shared" si="0"/>
        <v>33862.5</v>
      </c>
      <c r="K116" s="91">
        <f t="shared" si="1"/>
        <v>259612.5</v>
      </c>
      <c r="L116" s="70"/>
      <c r="M116" s="82"/>
    </row>
    <row r="117" spans="1:13" x14ac:dyDescent="0.3">
      <c r="A117" s="5">
        <v>46135</v>
      </c>
      <c r="B117" s="6">
        <v>268</v>
      </c>
      <c r="C117" s="6" t="s">
        <v>13</v>
      </c>
      <c r="D117" s="6" t="s">
        <v>29</v>
      </c>
      <c r="E117" s="6" t="s">
        <v>172</v>
      </c>
      <c r="F117" s="8">
        <v>1</v>
      </c>
      <c r="G117" s="8">
        <v>29</v>
      </c>
      <c r="H117" s="8">
        <v>22.7</v>
      </c>
      <c r="I117" s="8">
        <f t="shared" si="3"/>
        <v>658.3</v>
      </c>
      <c r="J117" s="8">
        <f t="shared" si="0"/>
        <v>98.74499999999999</v>
      </c>
      <c r="K117" s="74">
        <f t="shared" si="1"/>
        <v>757.04499999999996</v>
      </c>
      <c r="L117" s="75"/>
      <c r="M117" s="94"/>
    </row>
    <row r="118" spans="1:13" x14ac:dyDescent="0.3">
      <c r="A118" s="5">
        <v>46135</v>
      </c>
      <c r="B118" s="6">
        <v>269</v>
      </c>
      <c r="C118" s="6" t="s">
        <v>13</v>
      </c>
      <c r="D118" s="6" t="s">
        <v>167</v>
      </c>
      <c r="E118" s="6" t="s">
        <v>88</v>
      </c>
      <c r="F118" s="8">
        <v>16</v>
      </c>
      <c r="G118" s="8">
        <v>27.5</v>
      </c>
      <c r="H118" s="8">
        <v>348.78</v>
      </c>
      <c r="I118" s="8">
        <f t="shared" si="3"/>
        <v>9591.4499999999989</v>
      </c>
      <c r="J118" s="8">
        <f t="shared" si="0"/>
        <v>1438.7174999999997</v>
      </c>
      <c r="K118" s="11">
        <f t="shared" si="1"/>
        <v>11030.1675</v>
      </c>
      <c r="L118" s="12"/>
      <c r="M118" s="20"/>
    </row>
    <row r="119" spans="1:13" x14ac:dyDescent="0.3">
      <c r="A119" s="60">
        <v>46137</v>
      </c>
      <c r="B119" s="61" t="s">
        <v>15</v>
      </c>
      <c r="C119" s="61" t="s">
        <v>13</v>
      </c>
      <c r="D119" s="61" t="s">
        <v>167</v>
      </c>
      <c r="E119" s="61" t="s">
        <v>88</v>
      </c>
      <c r="F119" s="62">
        <v>-16</v>
      </c>
      <c r="G119" s="62">
        <v>27.5</v>
      </c>
      <c r="H119" s="62">
        <v>-348.78</v>
      </c>
      <c r="I119" s="62">
        <f t="shared" si="3"/>
        <v>-9591.4499999999989</v>
      </c>
      <c r="J119" s="62">
        <f t="shared" si="0"/>
        <v>-1438.7174999999997</v>
      </c>
      <c r="K119" s="65">
        <f t="shared" si="1"/>
        <v>-11030.1675</v>
      </c>
      <c r="L119" s="66"/>
      <c r="M119" s="20"/>
    </row>
    <row r="120" spans="1:13" x14ac:dyDescent="0.3">
      <c r="A120" s="5">
        <v>46137</v>
      </c>
      <c r="B120" s="6">
        <v>270</v>
      </c>
      <c r="C120" s="6" t="s">
        <v>13</v>
      </c>
      <c r="D120" s="6" t="s">
        <v>134</v>
      </c>
      <c r="E120" s="6" t="s">
        <v>171</v>
      </c>
      <c r="F120" s="8">
        <v>75</v>
      </c>
      <c r="G120" s="8">
        <v>468</v>
      </c>
      <c r="H120" s="8">
        <v>75</v>
      </c>
      <c r="I120" s="8">
        <f t="shared" si="3"/>
        <v>35100</v>
      </c>
      <c r="J120" s="8">
        <f t="shared" si="0"/>
        <v>5265</v>
      </c>
      <c r="K120" s="11">
        <f t="shared" si="1"/>
        <v>40365</v>
      </c>
      <c r="L120" s="12"/>
    </row>
    <row r="121" spans="1:13" x14ac:dyDescent="0.3">
      <c r="A121" s="5">
        <v>46137</v>
      </c>
      <c r="B121" s="6">
        <v>271</v>
      </c>
      <c r="C121" s="6" t="s">
        <v>158</v>
      </c>
      <c r="D121" s="7" t="s">
        <v>131</v>
      </c>
      <c r="E121" s="6" t="s">
        <v>132</v>
      </c>
      <c r="F121" s="8">
        <v>20</v>
      </c>
      <c r="G121" s="8">
        <v>420</v>
      </c>
      <c r="H121" s="8">
        <v>20</v>
      </c>
      <c r="I121" s="8">
        <f t="shared" si="3"/>
        <v>8400</v>
      </c>
      <c r="J121" s="8">
        <f t="shared" si="0"/>
        <v>1260</v>
      </c>
      <c r="K121" s="69">
        <f t="shared" si="1"/>
        <v>9660</v>
      </c>
      <c r="L121" s="70"/>
      <c r="M121" s="82"/>
    </row>
    <row r="122" spans="1:13" x14ac:dyDescent="0.3">
      <c r="A122" s="5">
        <v>46137</v>
      </c>
      <c r="B122" s="6">
        <v>272</v>
      </c>
      <c r="C122" s="6" t="s">
        <v>13</v>
      </c>
      <c r="D122" s="7" t="s">
        <v>176</v>
      </c>
      <c r="E122" s="6" t="s">
        <v>18</v>
      </c>
      <c r="F122" s="8">
        <v>20</v>
      </c>
      <c r="G122" s="8">
        <v>460</v>
      </c>
      <c r="H122" s="8">
        <v>20</v>
      </c>
      <c r="I122" s="8">
        <f t="shared" si="3"/>
        <v>9200</v>
      </c>
      <c r="J122" s="8">
        <f t="shared" si="0"/>
        <v>1380</v>
      </c>
      <c r="K122" s="69">
        <f t="shared" si="1"/>
        <v>10580</v>
      </c>
      <c r="L122" s="70"/>
      <c r="M122" s="83"/>
    </row>
    <row r="123" spans="1:13" x14ac:dyDescent="0.3">
      <c r="A123" s="5">
        <v>46137</v>
      </c>
      <c r="B123" s="6">
        <v>273</v>
      </c>
      <c r="C123" s="6" t="s">
        <v>13</v>
      </c>
      <c r="D123" s="6" t="s">
        <v>167</v>
      </c>
      <c r="E123" s="6" t="s">
        <v>18</v>
      </c>
      <c r="F123" s="8">
        <v>30</v>
      </c>
      <c r="G123" s="8">
        <v>460</v>
      </c>
      <c r="H123" s="8">
        <v>30</v>
      </c>
      <c r="I123" s="8">
        <f t="shared" si="3"/>
        <v>13800</v>
      </c>
      <c r="J123" s="8">
        <f t="shared" si="0"/>
        <v>2070</v>
      </c>
      <c r="K123" s="69">
        <f t="shared" si="1"/>
        <v>15870</v>
      </c>
      <c r="L123" s="70"/>
      <c r="M123" s="83"/>
    </row>
    <row r="124" spans="1:13" x14ac:dyDescent="0.3">
      <c r="A124" s="5">
        <v>46137</v>
      </c>
      <c r="B124" s="6">
        <v>274</v>
      </c>
      <c r="C124" s="6" t="s">
        <v>13</v>
      </c>
      <c r="D124" s="6" t="s">
        <v>179</v>
      </c>
      <c r="E124" s="6" t="s">
        <v>171</v>
      </c>
      <c r="F124" s="8">
        <v>200</v>
      </c>
      <c r="G124" s="8">
        <v>469</v>
      </c>
      <c r="H124" s="8">
        <v>200</v>
      </c>
      <c r="I124" s="8">
        <f t="shared" si="3"/>
        <v>93800</v>
      </c>
      <c r="J124" s="8">
        <f t="shared" si="0"/>
        <v>14070</v>
      </c>
      <c r="K124" s="69">
        <f t="shared" si="1"/>
        <v>107870</v>
      </c>
      <c r="L124" s="70"/>
      <c r="M124" s="82"/>
    </row>
    <row r="125" spans="1:13" x14ac:dyDescent="0.3">
      <c r="A125" s="5">
        <v>46137</v>
      </c>
      <c r="B125" s="6">
        <v>275</v>
      </c>
      <c r="C125" s="6" t="s">
        <v>13</v>
      </c>
      <c r="D125" s="6" t="s">
        <v>180</v>
      </c>
      <c r="E125" s="6" t="s">
        <v>171</v>
      </c>
      <c r="F125" s="8">
        <v>200</v>
      </c>
      <c r="G125" s="8">
        <v>460</v>
      </c>
      <c r="H125" s="8">
        <v>200</v>
      </c>
      <c r="I125" s="8">
        <f t="shared" si="3"/>
        <v>92000</v>
      </c>
      <c r="J125" s="8">
        <f t="shared" si="0"/>
        <v>13800</v>
      </c>
      <c r="K125" s="69">
        <f t="shared" si="1"/>
        <v>105800</v>
      </c>
      <c r="L125" s="70"/>
      <c r="M125" s="82"/>
    </row>
    <row r="126" spans="1:13" x14ac:dyDescent="0.3">
      <c r="A126" s="5">
        <v>46139</v>
      </c>
      <c r="B126" s="6">
        <v>276</v>
      </c>
      <c r="C126" s="6" t="s">
        <v>13</v>
      </c>
      <c r="D126" s="7" t="s">
        <v>185</v>
      </c>
      <c r="E126" s="6" t="s">
        <v>183</v>
      </c>
      <c r="F126" s="8">
        <v>60</v>
      </c>
      <c r="G126" s="8">
        <v>666</v>
      </c>
      <c r="H126" s="8">
        <v>60</v>
      </c>
      <c r="I126" s="8">
        <f t="shared" si="3"/>
        <v>39960</v>
      </c>
      <c r="J126" s="8">
        <f t="shared" si="0"/>
        <v>5994</v>
      </c>
      <c r="K126" s="11">
        <f t="shared" si="1"/>
        <v>45954</v>
      </c>
      <c r="L126" s="12"/>
    </row>
    <row r="127" spans="1:13" x14ac:dyDescent="0.3">
      <c r="A127" s="5">
        <v>46140</v>
      </c>
      <c r="B127" s="6">
        <v>277</v>
      </c>
      <c r="C127" s="6" t="s">
        <v>13</v>
      </c>
      <c r="D127" s="6" t="s">
        <v>184</v>
      </c>
      <c r="E127" s="6" t="s">
        <v>183</v>
      </c>
      <c r="F127" s="8">
        <v>50</v>
      </c>
      <c r="G127" s="8">
        <v>666</v>
      </c>
      <c r="H127" s="8">
        <v>50</v>
      </c>
      <c r="I127" s="8">
        <f t="shared" si="3"/>
        <v>33300</v>
      </c>
      <c r="J127" s="8">
        <f t="shared" si="0"/>
        <v>4995</v>
      </c>
      <c r="K127" s="69">
        <f t="shared" si="1"/>
        <v>38295</v>
      </c>
      <c r="L127" s="70"/>
    </row>
    <row r="128" spans="1:13" x14ac:dyDescent="0.3">
      <c r="A128" s="5">
        <v>46140</v>
      </c>
      <c r="B128" s="6">
        <v>278</v>
      </c>
      <c r="C128" s="6" t="s">
        <v>158</v>
      </c>
      <c r="D128" s="6" t="s">
        <v>157</v>
      </c>
      <c r="E128" s="6" t="s">
        <v>183</v>
      </c>
      <c r="F128" s="8">
        <v>10</v>
      </c>
      <c r="G128" s="8">
        <v>666</v>
      </c>
      <c r="H128" s="8">
        <v>10</v>
      </c>
      <c r="I128" s="8">
        <f t="shared" si="3"/>
        <v>6660</v>
      </c>
      <c r="J128" s="8">
        <f t="shared" si="0"/>
        <v>999</v>
      </c>
      <c r="K128" s="69">
        <f t="shared" si="1"/>
        <v>7659</v>
      </c>
      <c r="L128" s="70"/>
    </row>
    <row r="129" spans="1:13" x14ac:dyDescent="0.3">
      <c r="A129" s="5">
        <v>46140</v>
      </c>
      <c r="B129" s="6">
        <v>278</v>
      </c>
      <c r="C129" s="6" t="s">
        <v>158</v>
      </c>
      <c r="D129" s="6" t="s">
        <v>157</v>
      </c>
      <c r="E129" s="6" t="s">
        <v>18</v>
      </c>
      <c r="F129" s="8">
        <v>50</v>
      </c>
      <c r="G129" s="8">
        <v>460</v>
      </c>
      <c r="H129" s="8">
        <v>50</v>
      </c>
      <c r="I129" s="8">
        <f t="shared" si="3"/>
        <v>23000</v>
      </c>
      <c r="J129" s="8">
        <f t="shared" si="0"/>
        <v>3450</v>
      </c>
      <c r="K129" s="69">
        <f t="shared" si="1"/>
        <v>26450</v>
      </c>
      <c r="L129" s="70"/>
    </row>
    <row r="130" spans="1:13" x14ac:dyDescent="0.3">
      <c r="A130" s="5">
        <v>46140</v>
      </c>
      <c r="B130" s="6">
        <v>278</v>
      </c>
      <c r="C130" s="6" t="s">
        <v>158</v>
      </c>
      <c r="D130" s="6" t="s">
        <v>157</v>
      </c>
      <c r="E130" s="6" t="s">
        <v>122</v>
      </c>
      <c r="F130" s="8">
        <v>10</v>
      </c>
      <c r="G130" s="8">
        <v>410</v>
      </c>
      <c r="H130" s="8">
        <v>10</v>
      </c>
      <c r="I130" s="8">
        <f t="shared" si="3"/>
        <v>4100</v>
      </c>
      <c r="J130" s="8">
        <f t="shared" si="0"/>
        <v>615</v>
      </c>
      <c r="K130" s="69">
        <f t="shared" si="1"/>
        <v>4715</v>
      </c>
      <c r="L130" s="70"/>
      <c r="M130" s="20"/>
    </row>
    <row r="131" spans="1:13" x14ac:dyDescent="0.3">
      <c r="A131" s="5">
        <v>46140</v>
      </c>
      <c r="B131" s="6">
        <v>279</v>
      </c>
      <c r="C131" s="6" t="s">
        <v>13</v>
      </c>
      <c r="D131" s="6" t="s">
        <v>176</v>
      </c>
      <c r="E131" s="6" t="s">
        <v>18</v>
      </c>
      <c r="F131" s="8">
        <v>20</v>
      </c>
      <c r="G131" s="8">
        <v>460</v>
      </c>
      <c r="H131" s="8">
        <v>20</v>
      </c>
      <c r="I131" s="8">
        <f t="shared" si="3"/>
        <v>9200</v>
      </c>
      <c r="J131" s="8">
        <f t="shared" si="0"/>
        <v>1380</v>
      </c>
      <c r="K131" s="69">
        <f t="shared" si="1"/>
        <v>10580</v>
      </c>
      <c r="L131" s="70"/>
      <c r="M131" s="82"/>
    </row>
    <row r="132" spans="1:13" x14ac:dyDescent="0.3">
      <c r="A132" s="5">
        <v>46140</v>
      </c>
      <c r="B132" s="6">
        <v>280</v>
      </c>
      <c r="C132" s="6" t="s">
        <v>13</v>
      </c>
      <c r="D132" s="7" t="s">
        <v>185</v>
      </c>
      <c r="E132" s="6" t="s">
        <v>115</v>
      </c>
      <c r="F132" s="8">
        <v>100</v>
      </c>
      <c r="G132" s="8">
        <v>360</v>
      </c>
      <c r="H132" s="8">
        <v>100</v>
      </c>
      <c r="I132" s="8">
        <f t="shared" si="3"/>
        <v>36000</v>
      </c>
      <c r="J132" s="8">
        <f t="shared" si="0"/>
        <v>5400</v>
      </c>
      <c r="K132" s="69">
        <f t="shared" si="1"/>
        <v>41400</v>
      </c>
      <c r="L132" s="70"/>
    </row>
    <row r="133" spans="1:13" x14ac:dyDescent="0.3">
      <c r="A133" s="5">
        <v>46140</v>
      </c>
      <c r="B133" s="6">
        <v>280</v>
      </c>
      <c r="C133" s="6" t="s">
        <v>13</v>
      </c>
      <c r="D133" s="6" t="s">
        <v>185</v>
      </c>
      <c r="E133" s="6" t="s">
        <v>172</v>
      </c>
      <c r="F133" s="8">
        <v>2</v>
      </c>
      <c r="G133" s="8">
        <v>28.5</v>
      </c>
      <c r="H133" s="8">
        <v>42.11</v>
      </c>
      <c r="I133" s="8">
        <f t="shared" si="3"/>
        <v>1200.135</v>
      </c>
      <c r="J133" s="8">
        <f t="shared" si="0"/>
        <v>180.02025</v>
      </c>
      <c r="K133" s="69">
        <f t="shared" si="1"/>
        <v>1380.15525</v>
      </c>
      <c r="L133" s="70"/>
      <c r="M133" s="20"/>
    </row>
    <row r="134" spans="1:13" x14ac:dyDescent="0.3">
      <c r="A134" s="5">
        <v>46140</v>
      </c>
      <c r="B134" s="6">
        <v>281</v>
      </c>
      <c r="C134" s="6" t="s">
        <v>13</v>
      </c>
      <c r="D134" s="6" t="s">
        <v>31</v>
      </c>
      <c r="E134" s="6" t="s">
        <v>18</v>
      </c>
      <c r="F134" s="8">
        <v>10</v>
      </c>
      <c r="G134" s="8">
        <v>460</v>
      </c>
      <c r="H134" s="8">
        <v>10</v>
      </c>
      <c r="I134" s="8">
        <f t="shared" si="3"/>
        <v>4600</v>
      </c>
      <c r="J134" s="8">
        <f t="shared" si="0"/>
        <v>690</v>
      </c>
      <c r="K134" s="11">
        <f t="shared" si="1"/>
        <v>5290</v>
      </c>
      <c r="L134" s="12"/>
      <c r="M134" s="20"/>
    </row>
    <row r="135" spans="1:13" x14ac:dyDescent="0.3">
      <c r="A135" s="60">
        <v>46144</v>
      </c>
      <c r="B135" s="61" t="s">
        <v>15</v>
      </c>
      <c r="C135" s="61"/>
      <c r="D135" s="61" t="s">
        <v>31</v>
      </c>
      <c r="E135" s="61" t="s">
        <v>18</v>
      </c>
      <c r="F135" s="62">
        <v>-10</v>
      </c>
      <c r="G135" s="62">
        <v>460</v>
      </c>
      <c r="H135" s="62">
        <v>-10</v>
      </c>
      <c r="I135" s="62">
        <f t="shared" si="3"/>
        <v>-4600</v>
      </c>
      <c r="J135" s="62">
        <f t="shared" si="0"/>
        <v>-690</v>
      </c>
      <c r="K135" s="65">
        <f t="shared" si="1"/>
        <v>-5290</v>
      </c>
      <c r="L135" s="66"/>
      <c r="M135" s="20"/>
    </row>
    <row r="136" spans="1:13" x14ac:dyDescent="0.3">
      <c r="A136" s="5">
        <v>46142</v>
      </c>
      <c r="B136" s="6">
        <v>282</v>
      </c>
      <c r="C136" s="6" t="s">
        <v>13</v>
      </c>
      <c r="D136" s="6" t="s">
        <v>175</v>
      </c>
      <c r="E136" s="6" t="s">
        <v>188</v>
      </c>
      <c r="F136" s="8">
        <v>35</v>
      </c>
      <c r="G136" s="8">
        <v>450</v>
      </c>
      <c r="H136" s="8">
        <v>35</v>
      </c>
      <c r="I136" s="8">
        <f t="shared" si="3"/>
        <v>15750</v>
      </c>
      <c r="J136" s="8">
        <f t="shared" si="0"/>
        <v>2362.5</v>
      </c>
      <c r="K136" s="69">
        <f t="shared" si="1"/>
        <v>18112.5</v>
      </c>
      <c r="L136" s="70"/>
      <c r="M136" s="83"/>
    </row>
    <row r="137" spans="1:13" x14ac:dyDescent="0.3">
      <c r="A137" s="5">
        <v>46142</v>
      </c>
      <c r="B137" s="6">
        <v>283</v>
      </c>
      <c r="C137" s="6" t="s">
        <v>13</v>
      </c>
      <c r="D137" s="6" t="s">
        <v>29</v>
      </c>
      <c r="E137" s="6" t="s">
        <v>18</v>
      </c>
      <c r="F137" s="8">
        <v>10</v>
      </c>
      <c r="G137" s="8">
        <v>460</v>
      </c>
      <c r="H137" s="8">
        <v>10</v>
      </c>
      <c r="I137" s="8">
        <f t="shared" si="3"/>
        <v>4600</v>
      </c>
      <c r="J137" s="8">
        <f t="shared" si="0"/>
        <v>690</v>
      </c>
      <c r="K137" s="69">
        <f t="shared" si="1"/>
        <v>5290</v>
      </c>
      <c r="L137" s="70"/>
      <c r="M137" s="82"/>
    </row>
    <row r="138" spans="1:13" x14ac:dyDescent="0.3">
      <c r="A138" s="5">
        <v>46142</v>
      </c>
      <c r="B138" s="6">
        <v>284</v>
      </c>
      <c r="C138" s="6" t="s">
        <v>13</v>
      </c>
      <c r="D138" s="6" t="s">
        <v>164</v>
      </c>
      <c r="E138" s="6" t="s">
        <v>22</v>
      </c>
      <c r="F138" s="8">
        <v>500</v>
      </c>
      <c r="G138" s="8">
        <v>182</v>
      </c>
      <c r="H138" s="8">
        <v>500</v>
      </c>
      <c r="I138" s="8">
        <f t="shared" si="3"/>
        <v>91000</v>
      </c>
      <c r="J138" s="8">
        <f t="shared" si="0"/>
        <v>13650</v>
      </c>
      <c r="K138" s="11">
        <f t="shared" si="1"/>
        <v>104650</v>
      </c>
      <c r="L138" s="12"/>
    </row>
    <row r="139" spans="1:13" x14ac:dyDescent="0.3">
      <c r="A139" s="5">
        <v>46142</v>
      </c>
      <c r="B139" s="6">
        <v>284</v>
      </c>
      <c r="C139" s="6" t="s">
        <v>13</v>
      </c>
      <c r="D139" s="6" t="s">
        <v>164</v>
      </c>
      <c r="E139" s="6" t="s">
        <v>65</v>
      </c>
      <c r="F139" s="8">
        <v>10</v>
      </c>
      <c r="G139" s="8">
        <v>195</v>
      </c>
      <c r="H139" s="8">
        <v>10</v>
      </c>
      <c r="I139" s="8">
        <f t="shared" si="3"/>
        <v>1950</v>
      </c>
      <c r="J139" s="8">
        <f t="shared" si="0"/>
        <v>292.5</v>
      </c>
      <c r="K139" s="11">
        <f t="shared" si="1"/>
        <v>2242.5</v>
      </c>
      <c r="L139" s="12"/>
    </row>
    <row r="140" spans="1:13" x14ac:dyDescent="0.3">
      <c r="A140" s="5">
        <v>46142</v>
      </c>
      <c r="B140" s="6">
        <v>285</v>
      </c>
      <c r="C140" s="6" t="s">
        <v>13</v>
      </c>
      <c r="D140" s="7" t="s">
        <v>131</v>
      </c>
      <c r="E140" s="6" t="s">
        <v>88</v>
      </c>
      <c r="F140" s="8">
        <v>16</v>
      </c>
      <c r="G140" s="8">
        <v>27.5</v>
      </c>
      <c r="H140" s="8">
        <v>348.78</v>
      </c>
      <c r="I140" s="8">
        <f t="shared" si="3"/>
        <v>9591.4499999999989</v>
      </c>
      <c r="J140" s="8">
        <f t="shared" si="0"/>
        <v>1438.7174999999997</v>
      </c>
      <c r="K140" s="69">
        <f t="shared" si="1"/>
        <v>11030.1675</v>
      </c>
      <c r="L140" s="70"/>
      <c r="M140" s="82"/>
    </row>
    <row r="141" spans="1:13" x14ac:dyDescent="0.3">
      <c r="A141" s="5">
        <v>46142</v>
      </c>
      <c r="B141" s="6">
        <v>285</v>
      </c>
      <c r="C141" s="6" t="s">
        <v>13</v>
      </c>
      <c r="D141" s="7" t="s">
        <v>131</v>
      </c>
      <c r="E141" s="6" t="s">
        <v>18</v>
      </c>
      <c r="F141" s="8">
        <v>5</v>
      </c>
      <c r="G141" s="8">
        <v>460</v>
      </c>
      <c r="H141" s="8">
        <v>5</v>
      </c>
      <c r="I141" s="8">
        <f t="shared" si="3"/>
        <v>2300</v>
      </c>
      <c r="J141" s="8">
        <f t="shared" si="0"/>
        <v>345</v>
      </c>
      <c r="K141" s="69">
        <f t="shared" si="1"/>
        <v>2645</v>
      </c>
      <c r="L141" s="70"/>
      <c r="M141" s="20"/>
    </row>
    <row r="142" spans="1:13" x14ac:dyDescent="0.3">
      <c r="A142" s="5">
        <v>46142</v>
      </c>
      <c r="B142" s="6">
        <v>286</v>
      </c>
      <c r="C142" s="6" t="s">
        <v>13</v>
      </c>
      <c r="D142" s="6" t="s">
        <v>176</v>
      </c>
      <c r="E142" s="6" t="s">
        <v>18</v>
      </c>
      <c r="F142" s="8">
        <v>20</v>
      </c>
      <c r="G142" s="8">
        <v>460</v>
      </c>
      <c r="H142" s="8">
        <v>20</v>
      </c>
      <c r="I142" s="8">
        <f t="shared" si="3"/>
        <v>9200</v>
      </c>
      <c r="J142" s="8">
        <f t="shared" si="0"/>
        <v>1380</v>
      </c>
      <c r="K142" s="69">
        <f t="shared" si="1"/>
        <v>10580</v>
      </c>
      <c r="L142" s="70"/>
      <c r="M142" s="82"/>
    </row>
    <row r="143" spans="1:13" x14ac:dyDescent="0.3">
      <c r="A143" s="5">
        <v>46142</v>
      </c>
      <c r="B143" s="6">
        <v>287</v>
      </c>
      <c r="C143" s="6" t="s">
        <v>13</v>
      </c>
      <c r="D143" s="6" t="s">
        <v>29</v>
      </c>
      <c r="E143" s="6" t="s">
        <v>132</v>
      </c>
      <c r="F143" s="8">
        <v>5</v>
      </c>
      <c r="G143" s="8">
        <v>415</v>
      </c>
      <c r="H143" s="8">
        <v>5</v>
      </c>
      <c r="I143" s="8">
        <f t="shared" si="3"/>
        <v>2075</v>
      </c>
      <c r="J143" s="8">
        <f t="shared" si="0"/>
        <v>311.25</v>
      </c>
      <c r="K143" s="11">
        <f t="shared" si="1"/>
        <v>2386.25</v>
      </c>
      <c r="L143" s="12"/>
    </row>
    <row r="144" spans="1:13" x14ac:dyDescent="0.3">
      <c r="A144" s="60">
        <v>46144</v>
      </c>
      <c r="B144" s="61" t="s">
        <v>15</v>
      </c>
      <c r="C144" s="61"/>
      <c r="D144" s="61" t="s">
        <v>29</v>
      </c>
      <c r="E144" s="61" t="s">
        <v>132</v>
      </c>
      <c r="F144" s="62">
        <v>-5</v>
      </c>
      <c r="G144" s="62">
        <v>415</v>
      </c>
      <c r="H144" s="62">
        <v>-5</v>
      </c>
      <c r="I144" s="62">
        <f t="shared" si="3"/>
        <v>-2075</v>
      </c>
      <c r="J144" s="62">
        <f t="shared" si="0"/>
        <v>-311.25</v>
      </c>
      <c r="K144" s="65">
        <f t="shared" si="1"/>
        <v>-2386.25</v>
      </c>
      <c r="L144" s="66"/>
    </row>
    <row r="145" spans="1:13" x14ac:dyDescent="0.3">
      <c r="A145" s="5"/>
      <c r="B145" s="6"/>
      <c r="C145" s="6"/>
      <c r="D145" s="6"/>
      <c r="E145" s="6"/>
      <c r="F145" s="8"/>
      <c r="G145" s="8"/>
      <c r="H145" s="8"/>
      <c r="I145" s="8">
        <f t="shared" si="3"/>
        <v>0</v>
      </c>
      <c r="J145" s="8">
        <f t="shared" si="0"/>
        <v>0</v>
      </c>
      <c r="K145" s="11">
        <f t="shared" si="1"/>
        <v>0</v>
      </c>
      <c r="L145" s="12"/>
    </row>
    <row r="146" spans="1:13" x14ac:dyDescent="0.3">
      <c r="A146" s="5"/>
      <c r="B146" s="6"/>
      <c r="C146" s="6"/>
      <c r="D146" s="6"/>
      <c r="E146" s="6"/>
      <c r="F146" s="8"/>
      <c r="G146" s="8"/>
      <c r="H146" s="8"/>
      <c r="I146" s="8">
        <f t="shared" si="3"/>
        <v>0</v>
      </c>
      <c r="J146" s="8">
        <f t="shared" si="0"/>
        <v>0</v>
      </c>
      <c r="K146" s="11">
        <f t="shared" si="1"/>
        <v>0</v>
      </c>
      <c r="L146" s="12"/>
    </row>
    <row r="147" spans="1:13" x14ac:dyDescent="0.3">
      <c r="A147" s="5"/>
      <c r="B147" s="6"/>
      <c r="C147" s="6"/>
      <c r="D147" s="6"/>
      <c r="E147" s="6"/>
      <c r="F147" s="8"/>
      <c r="G147" s="8"/>
      <c r="H147" s="8"/>
      <c r="I147" s="8">
        <f t="shared" si="3"/>
        <v>0</v>
      </c>
      <c r="J147" s="8">
        <f t="shared" si="0"/>
        <v>0</v>
      </c>
      <c r="K147" s="11">
        <f t="shared" si="1"/>
        <v>0</v>
      </c>
      <c r="L147" s="12"/>
    </row>
    <row r="148" spans="1:13" x14ac:dyDescent="0.3">
      <c r="A148" s="5"/>
      <c r="B148" s="6"/>
      <c r="C148" s="6"/>
      <c r="D148" s="6"/>
      <c r="E148" s="6"/>
      <c r="F148" s="8"/>
      <c r="G148" s="8"/>
      <c r="H148" s="8"/>
      <c r="I148" s="8">
        <f t="shared" si="3"/>
        <v>0</v>
      </c>
      <c r="J148" s="8">
        <f t="shared" si="0"/>
        <v>0</v>
      </c>
      <c r="K148" s="11">
        <f t="shared" si="1"/>
        <v>0</v>
      </c>
      <c r="L148" s="12"/>
    </row>
    <row r="149" spans="1:13" x14ac:dyDescent="0.3">
      <c r="A149" s="5"/>
      <c r="B149" s="6"/>
      <c r="C149" s="6"/>
      <c r="D149" s="6"/>
      <c r="E149" s="6"/>
      <c r="F149" s="8"/>
      <c r="G149" s="8"/>
      <c r="H149" s="8"/>
      <c r="I149" s="8">
        <f t="shared" si="3"/>
        <v>0</v>
      </c>
      <c r="J149" s="8">
        <f t="shared" si="0"/>
        <v>0</v>
      </c>
      <c r="K149" s="11">
        <f t="shared" si="1"/>
        <v>0</v>
      </c>
      <c r="L149" s="12"/>
      <c r="M149" s="20"/>
    </row>
    <row r="150" spans="1:13" x14ac:dyDescent="0.3">
      <c r="A150" s="5"/>
      <c r="B150" s="6"/>
      <c r="C150" s="6"/>
      <c r="D150" s="6"/>
      <c r="E150" s="6"/>
      <c r="F150" s="8"/>
      <c r="G150" s="8"/>
      <c r="H150" s="8"/>
      <c r="I150" s="8">
        <f t="shared" si="3"/>
        <v>0</v>
      </c>
      <c r="J150" s="8">
        <f t="shared" si="0"/>
        <v>0</v>
      </c>
      <c r="K150" s="11">
        <f t="shared" si="1"/>
        <v>0</v>
      </c>
      <c r="L150" s="12"/>
    </row>
    <row r="151" spans="1:13" x14ac:dyDescent="0.3">
      <c r="A151" s="5"/>
      <c r="B151" s="6"/>
      <c r="C151" s="6"/>
      <c r="D151" s="6"/>
      <c r="E151" s="6"/>
      <c r="F151" s="8"/>
      <c r="G151" s="8"/>
      <c r="H151" s="8"/>
      <c r="I151" s="8">
        <f t="shared" si="3"/>
        <v>0</v>
      </c>
      <c r="J151" s="8">
        <f t="shared" si="0"/>
        <v>0</v>
      </c>
      <c r="K151" s="11">
        <f t="shared" si="1"/>
        <v>0</v>
      </c>
      <c r="L151" s="12"/>
    </row>
    <row r="152" spans="1:13" x14ac:dyDescent="0.3">
      <c r="A152" s="5"/>
      <c r="B152" s="6"/>
      <c r="C152" s="6"/>
      <c r="D152" s="6"/>
      <c r="E152" s="6"/>
      <c r="F152" s="8"/>
      <c r="G152" s="8"/>
      <c r="H152" s="8"/>
      <c r="I152" s="8">
        <f t="shared" si="3"/>
        <v>0</v>
      </c>
      <c r="J152" s="8">
        <f t="shared" si="0"/>
        <v>0</v>
      </c>
      <c r="K152" s="11">
        <f t="shared" si="1"/>
        <v>0</v>
      </c>
      <c r="L152" s="12"/>
    </row>
    <row r="153" spans="1:13" x14ac:dyDescent="0.3">
      <c r="A153" s="5"/>
      <c r="B153" s="6"/>
      <c r="C153" s="6"/>
      <c r="D153" s="6"/>
      <c r="E153" s="6"/>
      <c r="F153" s="8"/>
      <c r="G153" s="8"/>
      <c r="H153" s="8"/>
      <c r="I153" s="8">
        <f t="shared" si="3"/>
        <v>0</v>
      </c>
      <c r="J153" s="8">
        <f t="shared" si="0"/>
        <v>0</v>
      </c>
      <c r="K153" s="11">
        <f t="shared" si="1"/>
        <v>0</v>
      </c>
      <c r="L153" s="12"/>
    </row>
    <row r="154" spans="1:13" x14ac:dyDescent="0.3">
      <c r="A154" s="5"/>
      <c r="B154" s="6"/>
      <c r="C154" s="6"/>
      <c r="D154" s="6"/>
      <c r="E154" s="6"/>
      <c r="F154" s="8"/>
      <c r="G154" s="8"/>
      <c r="H154" s="8"/>
      <c r="I154" s="8">
        <f t="shared" si="3"/>
        <v>0</v>
      </c>
      <c r="J154" s="8">
        <f t="shared" si="0"/>
        <v>0</v>
      </c>
      <c r="K154" s="11">
        <f t="shared" si="1"/>
        <v>0</v>
      </c>
      <c r="L154" s="12"/>
    </row>
    <row r="155" spans="1:13" x14ac:dyDescent="0.3">
      <c r="A155" s="5"/>
      <c r="B155" s="6"/>
      <c r="C155" s="6"/>
      <c r="D155" s="6"/>
      <c r="E155" s="6"/>
      <c r="F155" s="8"/>
      <c r="G155" s="8"/>
      <c r="H155" s="8"/>
      <c r="I155" s="8">
        <f t="shared" si="3"/>
        <v>0</v>
      </c>
      <c r="J155" s="8">
        <f t="shared" si="0"/>
        <v>0</v>
      </c>
      <c r="K155" s="11">
        <f t="shared" si="1"/>
        <v>0</v>
      </c>
      <c r="L155" s="12"/>
    </row>
    <row r="156" spans="1:13" x14ac:dyDescent="0.3">
      <c r="A156" s="5"/>
      <c r="B156" s="6"/>
      <c r="C156" s="6"/>
      <c r="D156" s="6"/>
      <c r="E156" s="6"/>
      <c r="F156" s="8"/>
      <c r="G156" s="8"/>
      <c r="H156" s="8"/>
      <c r="I156" s="8">
        <f t="shared" si="3"/>
        <v>0</v>
      </c>
      <c r="J156" s="8">
        <f t="shared" si="0"/>
        <v>0</v>
      </c>
      <c r="K156" s="11">
        <f t="shared" si="1"/>
        <v>0</v>
      </c>
      <c r="L156" s="12"/>
    </row>
    <row r="157" spans="1:13" x14ac:dyDescent="0.3">
      <c r="A157" s="5"/>
      <c r="B157" s="6"/>
      <c r="C157" s="6"/>
      <c r="D157" s="6"/>
      <c r="E157" s="6"/>
      <c r="F157" s="8"/>
      <c r="G157" s="8"/>
      <c r="H157" s="8"/>
      <c r="I157" s="8">
        <f t="shared" si="3"/>
        <v>0</v>
      </c>
      <c r="J157" s="8">
        <f t="shared" si="0"/>
        <v>0</v>
      </c>
      <c r="K157" s="11">
        <f t="shared" si="1"/>
        <v>0</v>
      </c>
      <c r="L157" s="12"/>
    </row>
    <row r="158" spans="1:13" x14ac:dyDescent="0.3">
      <c r="A158" s="5"/>
      <c r="B158" s="6"/>
      <c r="C158" s="6"/>
      <c r="D158" s="7"/>
      <c r="E158" s="6"/>
      <c r="F158" s="8"/>
      <c r="G158" s="8"/>
      <c r="H158" s="8"/>
      <c r="I158" s="8">
        <f t="shared" si="3"/>
        <v>0</v>
      </c>
      <c r="J158" s="8">
        <f t="shared" si="0"/>
        <v>0</v>
      </c>
      <c r="K158" s="11">
        <f t="shared" si="1"/>
        <v>0</v>
      </c>
      <c r="L158" s="12"/>
    </row>
    <row r="159" spans="1:13" x14ac:dyDescent="0.3">
      <c r="A159" s="5"/>
      <c r="B159" s="6"/>
      <c r="C159" s="6"/>
      <c r="D159" s="6"/>
      <c r="E159" s="6"/>
      <c r="F159" s="8"/>
      <c r="G159" s="8"/>
      <c r="H159" s="8"/>
      <c r="I159" s="8">
        <f t="shared" si="3"/>
        <v>0</v>
      </c>
      <c r="J159" s="8">
        <f t="shared" si="0"/>
        <v>0</v>
      </c>
      <c r="K159" s="11">
        <f t="shared" si="1"/>
        <v>0</v>
      </c>
      <c r="L159" s="12"/>
    </row>
    <row r="160" spans="1:13" x14ac:dyDescent="0.3">
      <c r="A160" s="5"/>
      <c r="B160" s="6"/>
      <c r="C160" s="6"/>
      <c r="D160" s="6"/>
      <c r="E160" s="6"/>
      <c r="F160" s="8"/>
      <c r="G160" s="8"/>
      <c r="H160" s="8"/>
      <c r="I160" s="8">
        <f t="shared" si="3"/>
        <v>0</v>
      </c>
      <c r="J160" s="8">
        <f t="shared" si="0"/>
        <v>0</v>
      </c>
      <c r="K160" s="11">
        <f t="shared" si="1"/>
        <v>0</v>
      </c>
      <c r="L160" s="12"/>
    </row>
    <row r="161" spans="1:13" x14ac:dyDescent="0.3">
      <c r="A161" s="5"/>
      <c r="B161" s="6"/>
      <c r="C161" s="6"/>
      <c r="D161" s="6"/>
      <c r="E161" s="6"/>
      <c r="F161" s="8"/>
      <c r="G161" s="8"/>
      <c r="H161" s="8"/>
      <c r="I161" s="8">
        <f t="shared" si="3"/>
        <v>0</v>
      </c>
      <c r="J161" s="8">
        <f t="shared" si="0"/>
        <v>0</v>
      </c>
      <c r="K161" s="11">
        <f t="shared" si="1"/>
        <v>0</v>
      </c>
      <c r="L161" s="12"/>
    </row>
    <row r="162" spans="1:13" x14ac:dyDescent="0.3">
      <c r="A162" s="5"/>
      <c r="B162" s="6"/>
      <c r="C162" s="6"/>
      <c r="D162" s="7"/>
      <c r="E162" s="6"/>
      <c r="F162" s="8"/>
      <c r="G162" s="8"/>
      <c r="H162" s="8"/>
      <c r="I162" s="8">
        <f t="shared" si="3"/>
        <v>0</v>
      </c>
      <c r="J162" s="8">
        <f t="shared" si="0"/>
        <v>0</v>
      </c>
      <c r="K162" s="11">
        <f t="shared" si="1"/>
        <v>0</v>
      </c>
      <c r="L162" s="12"/>
    </row>
    <row r="163" spans="1:13" x14ac:dyDescent="0.3">
      <c r="A163" s="5"/>
      <c r="B163" s="6"/>
      <c r="C163" s="6"/>
      <c r="D163" s="6"/>
      <c r="E163" s="6"/>
      <c r="F163" s="8"/>
      <c r="G163" s="8"/>
      <c r="H163" s="8"/>
      <c r="I163" s="8">
        <f t="shared" si="3"/>
        <v>0</v>
      </c>
      <c r="J163" s="8">
        <f t="shared" si="0"/>
        <v>0</v>
      </c>
      <c r="K163" s="11">
        <f t="shared" si="1"/>
        <v>0</v>
      </c>
      <c r="L163" s="12"/>
    </row>
    <row r="164" spans="1:13" x14ac:dyDescent="0.3">
      <c r="A164" s="5"/>
      <c r="B164" s="6"/>
      <c r="C164" s="6"/>
      <c r="D164" s="6"/>
      <c r="E164" s="6"/>
      <c r="F164" s="8"/>
      <c r="G164" s="8"/>
      <c r="H164" s="8"/>
      <c r="I164" s="8">
        <f t="shared" si="3"/>
        <v>0</v>
      </c>
      <c r="J164" s="8">
        <f t="shared" si="0"/>
        <v>0</v>
      </c>
      <c r="K164" s="11">
        <f t="shared" si="1"/>
        <v>0</v>
      </c>
      <c r="L164" s="12"/>
      <c r="M164" s="20"/>
    </row>
    <row r="165" spans="1:13" x14ac:dyDescent="0.3">
      <c r="A165" s="5"/>
      <c r="B165" s="6"/>
      <c r="C165" s="6"/>
      <c r="D165" s="6"/>
      <c r="E165" s="6"/>
      <c r="F165" s="8"/>
      <c r="G165" s="8"/>
      <c r="H165" s="8"/>
      <c r="I165" s="8">
        <f t="shared" si="3"/>
        <v>0</v>
      </c>
      <c r="J165" s="8">
        <f t="shared" si="0"/>
        <v>0</v>
      </c>
      <c r="K165" s="11">
        <f t="shared" si="1"/>
        <v>0</v>
      </c>
      <c r="L165" s="12"/>
      <c r="M165" s="20"/>
    </row>
    <row r="166" spans="1:13" x14ac:dyDescent="0.3">
      <c r="A166" s="5"/>
      <c r="B166" s="6"/>
      <c r="C166" s="6"/>
      <c r="D166" s="6"/>
      <c r="E166" s="6"/>
      <c r="F166" s="8"/>
      <c r="G166" s="8"/>
      <c r="H166" s="8"/>
      <c r="I166" s="8">
        <f t="shared" si="3"/>
        <v>0</v>
      </c>
      <c r="J166" s="8">
        <f t="shared" si="0"/>
        <v>0</v>
      </c>
      <c r="K166" s="11">
        <f t="shared" si="1"/>
        <v>0</v>
      </c>
      <c r="L166" s="12"/>
    </row>
    <row r="167" spans="1:13" x14ac:dyDescent="0.3">
      <c r="A167" s="5"/>
      <c r="B167" s="6"/>
      <c r="C167" s="6"/>
      <c r="D167" s="6"/>
      <c r="E167" s="6"/>
      <c r="F167" s="8"/>
      <c r="G167" s="8"/>
      <c r="H167" s="8"/>
      <c r="I167" s="8">
        <f t="shared" si="3"/>
        <v>0</v>
      </c>
      <c r="J167" s="8">
        <f t="shared" si="0"/>
        <v>0</v>
      </c>
      <c r="K167" s="11">
        <f t="shared" si="1"/>
        <v>0</v>
      </c>
      <c r="L167" s="12"/>
    </row>
    <row r="168" spans="1:13" x14ac:dyDescent="0.3">
      <c r="A168" s="5"/>
      <c r="B168" s="6"/>
      <c r="C168" s="6"/>
      <c r="D168" s="6"/>
      <c r="E168" s="6"/>
      <c r="F168" s="8"/>
      <c r="G168" s="8"/>
      <c r="H168" s="8"/>
      <c r="I168" s="8">
        <f t="shared" si="3"/>
        <v>0</v>
      </c>
      <c r="J168" s="8">
        <f t="shared" si="0"/>
        <v>0</v>
      </c>
      <c r="K168" s="11">
        <f t="shared" si="1"/>
        <v>0</v>
      </c>
      <c r="L168" s="12"/>
    </row>
    <row r="169" spans="1:13" x14ac:dyDescent="0.3">
      <c r="A169" s="5"/>
      <c r="B169" s="6"/>
      <c r="C169" s="6"/>
      <c r="D169" s="6"/>
      <c r="E169" s="6"/>
      <c r="F169" s="8"/>
      <c r="G169" s="8"/>
      <c r="H169" s="8"/>
      <c r="I169" s="8">
        <f t="shared" si="3"/>
        <v>0</v>
      </c>
      <c r="J169" s="8">
        <f t="shared" si="0"/>
        <v>0</v>
      </c>
      <c r="K169" s="11">
        <f t="shared" si="1"/>
        <v>0</v>
      </c>
      <c r="L169" s="12"/>
    </row>
    <row r="170" spans="1:13" x14ac:dyDescent="0.3">
      <c r="A170" s="5"/>
      <c r="B170" s="6"/>
      <c r="C170" s="6"/>
      <c r="D170" s="6"/>
      <c r="E170" s="6"/>
      <c r="F170" s="8"/>
      <c r="G170" s="8"/>
      <c r="H170" s="8"/>
      <c r="I170" s="8">
        <f t="shared" si="3"/>
        <v>0</v>
      </c>
      <c r="J170" s="8">
        <f t="shared" si="0"/>
        <v>0</v>
      </c>
      <c r="K170" s="11">
        <f t="shared" si="1"/>
        <v>0</v>
      </c>
      <c r="L170" s="12"/>
    </row>
    <row r="171" spans="1:13" x14ac:dyDescent="0.3">
      <c r="A171" s="5"/>
      <c r="B171" s="6"/>
      <c r="C171" s="6"/>
      <c r="D171" s="6"/>
      <c r="E171" s="6"/>
      <c r="F171" s="8"/>
      <c r="G171" s="8"/>
      <c r="H171" s="8"/>
      <c r="I171" s="8">
        <f t="shared" si="3"/>
        <v>0</v>
      </c>
      <c r="J171" s="8">
        <f t="shared" si="0"/>
        <v>0</v>
      </c>
      <c r="K171" s="11">
        <f t="shared" si="1"/>
        <v>0</v>
      </c>
      <c r="L171" s="12"/>
    </row>
    <row r="172" spans="1:13" x14ac:dyDescent="0.3">
      <c r="A172" s="5"/>
      <c r="B172" s="6"/>
      <c r="C172" s="6"/>
      <c r="D172" s="6"/>
      <c r="E172" s="6"/>
      <c r="F172" s="8"/>
      <c r="G172" s="8"/>
      <c r="H172" s="8"/>
      <c r="I172" s="8">
        <f t="shared" si="3"/>
        <v>0</v>
      </c>
      <c r="J172" s="8">
        <f t="shared" si="0"/>
        <v>0</v>
      </c>
      <c r="K172" s="11">
        <f t="shared" si="1"/>
        <v>0</v>
      </c>
      <c r="L172" s="12"/>
    </row>
    <row r="173" spans="1:13" x14ac:dyDescent="0.3">
      <c r="A173" s="5"/>
      <c r="B173" s="6"/>
      <c r="C173" s="6"/>
      <c r="D173" s="6"/>
      <c r="E173" s="6"/>
      <c r="F173" s="8"/>
      <c r="G173" s="8"/>
      <c r="H173" s="8"/>
      <c r="I173" s="8">
        <f t="shared" si="3"/>
        <v>0</v>
      </c>
      <c r="J173" s="8">
        <f t="shared" si="0"/>
        <v>0</v>
      </c>
      <c r="K173" s="11">
        <f t="shared" si="1"/>
        <v>0</v>
      </c>
      <c r="L173" s="12"/>
      <c r="M173" s="20"/>
    </row>
    <row r="174" spans="1:13" x14ac:dyDescent="0.3">
      <c r="A174" s="5"/>
      <c r="B174" s="6"/>
      <c r="C174" s="6"/>
      <c r="D174" s="6"/>
      <c r="E174" s="6"/>
      <c r="F174" s="8"/>
      <c r="G174" s="8"/>
      <c r="H174" s="8"/>
      <c r="I174" s="8">
        <f t="shared" si="3"/>
        <v>0</v>
      </c>
      <c r="J174" s="8">
        <f t="shared" si="0"/>
        <v>0</v>
      </c>
      <c r="K174" s="11">
        <f t="shared" si="1"/>
        <v>0</v>
      </c>
      <c r="L174" s="12"/>
    </row>
    <row r="175" spans="1:13" x14ac:dyDescent="0.3">
      <c r="A175" s="5"/>
      <c r="B175" s="6"/>
      <c r="C175" s="6"/>
      <c r="D175" s="6"/>
      <c r="E175" s="6"/>
      <c r="F175" s="8"/>
      <c r="G175" s="8"/>
      <c r="H175" s="8"/>
      <c r="I175" s="8">
        <f t="shared" si="3"/>
        <v>0</v>
      </c>
      <c r="J175" s="8">
        <f t="shared" si="0"/>
        <v>0</v>
      </c>
      <c r="K175" s="11">
        <f t="shared" si="1"/>
        <v>0</v>
      </c>
      <c r="L175" s="12"/>
    </row>
    <row r="176" spans="1:13" x14ac:dyDescent="0.3">
      <c r="A176" s="5"/>
      <c r="B176" s="6"/>
      <c r="C176" s="6"/>
      <c r="D176" s="6"/>
      <c r="E176" s="6"/>
      <c r="F176" s="8"/>
      <c r="G176" s="8"/>
      <c r="H176" s="8"/>
      <c r="I176" s="8">
        <f t="shared" si="3"/>
        <v>0</v>
      </c>
      <c r="J176" s="8">
        <f t="shared" si="0"/>
        <v>0</v>
      </c>
      <c r="K176" s="11">
        <f t="shared" si="1"/>
        <v>0</v>
      </c>
      <c r="L176" s="12"/>
    </row>
    <row r="177" spans="1:12" x14ac:dyDescent="0.3">
      <c r="A177" s="5"/>
      <c r="B177" s="6"/>
      <c r="C177" s="6"/>
      <c r="D177" s="6"/>
      <c r="E177" s="6"/>
      <c r="F177" s="8"/>
      <c r="G177" s="8"/>
      <c r="H177" s="8"/>
      <c r="I177" s="8">
        <f t="shared" si="3"/>
        <v>0</v>
      </c>
      <c r="J177" s="8">
        <f t="shared" si="0"/>
        <v>0</v>
      </c>
      <c r="K177" s="11">
        <f t="shared" si="1"/>
        <v>0</v>
      </c>
      <c r="L177" s="12"/>
    </row>
    <row r="178" spans="1:12" x14ac:dyDescent="0.3">
      <c r="A178" s="5"/>
      <c r="B178" s="6"/>
      <c r="C178" s="6"/>
      <c r="D178" s="6"/>
      <c r="E178" s="6"/>
      <c r="F178" s="8"/>
      <c r="G178" s="8"/>
      <c r="H178" s="8"/>
      <c r="I178" s="8">
        <f t="shared" si="3"/>
        <v>0</v>
      </c>
      <c r="J178" s="8">
        <f t="shared" si="0"/>
        <v>0</v>
      </c>
      <c r="K178" s="11">
        <f t="shared" si="1"/>
        <v>0</v>
      </c>
      <c r="L178" s="12"/>
    </row>
    <row r="179" spans="1:12" x14ac:dyDescent="0.3">
      <c r="A179" s="5"/>
      <c r="B179" s="6"/>
      <c r="C179" s="6"/>
      <c r="D179" s="6"/>
      <c r="E179" s="6"/>
      <c r="F179" s="8"/>
      <c r="G179" s="8"/>
      <c r="H179" s="8"/>
      <c r="I179" s="8">
        <f t="shared" si="3"/>
        <v>0</v>
      </c>
      <c r="J179" s="8">
        <f t="shared" si="0"/>
        <v>0</v>
      </c>
      <c r="K179" s="11">
        <f t="shared" si="1"/>
        <v>0</v>
      </c>
      <c r="L179" s="12"/>
    </row>
    <row r="180" spans="1:12" x14ac:dyDescent="0.3">
      <c r="A180" s="5"/>
      <c r="B180" s="6"/>
      <c r="C180" s="6"/>
      <c r="D180" s="6"/>
      <c r="E180" s="6"/>
      <c r="F180" s="8"/>
      <c r="G180" s="8"/>
      <c r="H180" s="8"/>
      <c r="I180" s="8">
        <f t="shared" si="3"/>
        <v>0</v>
      </c>
      <c r="J180" s="8">
        <f t="shared" si="0"/>
        <v>0</v>
      </c>
      <c r="K180" s="11">
        <f t="shared" si="1"/>
        <v>0</v>
      </c>
      <c r="L180" s="12"/>
    </row>
    <row r="181" spans="1:12" x14ac:dyDescent="0.3">
      <c r="A181" s="5"/>
      <c r="B181" s="6"/>
      <c r="C181" s="6"/>
      <c r="D181" s="6"/>
      <c r="E181" s="6"/>
      <c r="F181" s="8"/>
      <c r="G181" s="8"/>
      <c r="H181" s="8"/>
      <c r="I181" s="8">
        <f t="shared" si="3"/>
        <v>0</v>
      </c>
      <c r="J181" s="8">
        <f t="shared" si="0"/>
        <v>0</v>
      </c>
      <c r="K181" s="11">
        <f t="shared" si="1"/>
        <v>0</v>
      </c>
      <c r="L181" s="12"/>
    </row>
    <row r="182" spans="1:12" x14ac:dyDescent="0.3">
      <c r="A182" s="5"/>
      <c r="B182" s="6"/>
      <c r="C182" s="6"/>
      <c r="D182" s="6"/>
      <c r="E182" s="6"/>
      <c r="F182" s="8"/>
      <c r="G182" s="8"/>
      <c r="H182" s="8"/>
      <c r="I182" s="8">
        <f t="shared" si="3"/>
        <v>0</v>
      </c>
      <c r="J182" s="8">
        <f t="shared" si="0"/>
        <v>0</v>
      </c>
      <c r="K182" s="11">
        <f t="shared" si="1"/>
        <v>0</v>
      </c>
      <c r="L182" s="12"/>
    </row>
    <row r="183" spans="1:12" x14ac:dyDescent="0.3">
      <c r="A183" s="14"/>
      <c r="B183" s="6"/>
      <c r="C183" s="6"/>
      <c r="D183" s="6"/>
      <c r="E183" s="6"/>
      <c r="F183" s="15">
        <f>SUBTOTAL(9,F3:F182)</f>
        <v>22397</v>
      </c>
      <c r="G183" s="15"/>
      <c r="H183" s="15">
        <f>SUBTOTAL(9,H3:H182)</f>
        <v>55533.53</v>
      </c>
      <c r="I183" s="15">
        <f>SUBTOTAL(9,I3:I182)</f>
        <v>8365536.9399999995</v>
      </c>
      <c r="J183" s="15">
        <f>SUBTOTAL(9,J3:J182)</f>
        <v>1254830.5410000002</v>
      </c>
      <c r="K183" s="15">
        <f>SUBTOTAL(9,K3:K182)</f>
        <v>9620367.4809999987</v>
      </c>
      <c r="L183" s="16"/>
    </row>
  </sheetData>
  <autoFilter ref="A2:M182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FFCC-A802-4503-938D-6412677C68F0}">
  <dimension ref="A1:S145"/>
  <sheetViews>
    <sheetView rightToLeft="1" tabSelected="1" zoomScaleNormal="100" workbookViewId="0">
      <pane ySplit="2" topLeftCell="A25" activePane="bottomLeft" state="frozen"/>
      <selection pane="bottomLeft" activeCell="F126" sqref="F126"/>
    </sheetView>
  </sheetViews>
  <sheetFormatPr defaultRowHeight="14.4" x14ac:dyDescent="0.3"/>
  <cols>
    <col min="1" max="1" width="7.21875" bestFit="1" customWidth="1"/>
    <col min="2" max="2" width="7" customWidth="1"/>
    <col min="3" max="3" width="10.88671875" customWidth="1"/>
    <col min="4" max="4" width="10.6640625" bestFit="1" customWidth="1"/>
    <col min="5" max="5" width="25.109375" bestFit="1" customWidth="1"/>
    <col min="6" max="6" width="26.44140625" customWidth="1"/>
    <col min="7" max="7" width="8.5546875" customWidth="1"/>
    <col min="8" max="8" width="6.21875" customWidth="1"/>
    <col min="9" max="9" width="8.88671875" customWidth="1"/>
    <col min="10" max="10" width="12.21875" customWidth="1"/>
    <col min="11" max="11" width="13.33203125" customWidth="1"/>
    <col min="12" max="12" width="12.44140625" customWidth="1"/>
    <col min="13" max="13" width="13.21875" bestFit="1" customWidth="1"/>
    <col min="14" max="14" width="14.44140625" bestFit="1" customWidth="1"/>
    <col min="15" max="15" width="12.44140625" bestFit="1" customWidth="1"/>
    <col min="16" max="16" width="29.6640625" bestFit="1" customWidth="1"/>
  </cols>
  <sheetData>
    <row r="1" spans="1:19" ht="21" x14ac:dyDescent="0.3">
      <c r="F1" s="22" t="s">
        <v>32</v>
      </c>
    </row>
    <row r="2" spans="1:19" ht="28.8" x14ac:dyDescent="0.3">
      <c r="A2" s="23" t="s">
        <v>0</v>
      </c>
      <c r="B2" s="23"/>
      <c r="C2" s="23" t="s">
        <v>33</v>
      </c>
      <c r="D2" s="23" t="s">
        <v>1</v>
      </c>
      <c r="E2" s="23" t="s">
        <v>34</v>
      </c>
      <c r="F2" s="23" t="s">
        <v>35</v>
      </c>
      <c r="G2" s="23" t="s">
        <v>36</v>
      </c>
      <c r="H2" s="24" t="s">
        <v>5</v>
      </c>
      <c r="I2" s="23" t="s">
        <v>6</v>
      </c>
      <c r="J2" s="23" t="s">
        <v>37</v>
      </c>
      <c r="K2" s="23" t="s">
        <v>38</v>
      </c>
      <c r="L2" s="25" t="s">
        <v>9</v>
      </c>
      <c r="M2" s="26" t="s">
        <v>39</v>
      </c>
      <c r="N2" s="26" t="s">
        <v>40</v>
      </c>
      <c r="O2" s="26" t="s">
        <v>41</v>
      </c>
      <c r="P2" s="27" t="s">
        <v>42</v>
      </c>
    </row>
    <row r="3" spans="1:19" ht="15.6" x14ac:dyDescent="0.3">
      <c r="A3" s="28">
        <v>46023</v>
      </c>
      <c r="B3" s="28"/>
      <c r="C3" s="28"/>
      <c r="D3" s="7">
        <v>2</v>
      </c>
      <c r="E3" s="7" t="s">
        <v>43</v>
      </c>
      <c r="F3" s="7" t="s">
        <v>44</v>
      </c>
      <c r="G3" s="7" t="s">
        <v>45</v>
      </c>
      <c r="H3" s="7">
        <v>1405</v>
      </c>
      <c r="I3" s="7">
        <v>79</v>
      </c>
      <c r="J3" s="13">
        <v>1405</v>
      </c>
      <c r="K3" s="7">
        <f t="shared" ref="K3:K66" si="0">I3*J3</f>
        <v>110995</v>
      </c>
      <c r="L3" s="29">
        <f t="shared" ref="L3:L66" si="1">K3*15%</f>
        <v>16649.25</v>
      </c>
      <c r="M3" s="40">
        <f t="shared" ref="M3:M66" si="2">K3+L3</f>
        <v>127644.25</v>
      </c>
      <c r="N3" s="31"/>
      <c r="O3" s="31"/>
      <c r="P3" s="32"/>
    </row>
    <row r="4" spans="1:19" ht="15.6" x14ac:dyDescent="0.3">
      <c r="A4" s="28">
        <v>46026</v>
      </c>
      <c r="B4" s="28"/>
      <c r="C4" s="28" t="s">
        <v>46</v>
      </c>
      <c r="D4" s="7">
        <v>14147</v>
      </c>
      <c r="E4" s="7" t="s">
        <v>47</v>
      </c>
      <c r="F4" s="7" t="s">
        <v>22</v>
      </c>
      <c r="G4" s="7" t="s">
        <v>45</v>
      </c>
      <c r="H4" s="7">
        <v>100</v>
      </c>
      <c r="I4" s="7">
        <v>168</v>
      </c>
      <c r="J4" s="13">
        <v>100</v>
      </c>
      <c r="K4" s="7">
        <f t="shared" si="0"/>
        <v>16800</v>
      </c>
      <c r="L4" s="29">
        <f t="shared" si="1"/>
        <v>2520</v>
      </c>
      <c r="M4" s="40">
        <f t="shared" si="2"/>
        <v>19320</v>
      </c>
      <c r="N4" s="31"/>
      <c r="O4" s="31"/>
      <c r="P4" s="32"/>
    </row>
    <row r="5" spans="1:19" ht="15.6" x14ac:dyDescent="0.3">
      <c r="A5" s="28">
        <v>46026</v>
      </c>
      <c r="B5" s="28"/>
      <c r="C5" s="28" t="s">
        <v>46</v>
      </c>
      <c r="D5" s="7">
        <v>14153</v>
      </c>
      <c r="E5" s="7" t="s">
        <v>47</v>
      </c>
      <c r="F5" s="7" t="s">
        <v>48</v>
      </c>
      <c r="G5" s="7" t="s">
        <v>45</v>
      </c>
      <c r="H5" s="7">
        <v>20</v>
      </c>
      <c r="I5" s="7">
        <v>634.5</v>
      </c>
      <c r="J5" s="13">
        <v>20</v>
      </c>
      <c r="K5" s="7">
        <f t="shared" si="0"/>
        <v>12690</v>
      </c>
      <c r="L5" s="29">
        <f t="shared" si="1"/>
        <v>1903.5</v>
      </c>
      <c r="M5" s="40">
        <f t="shared" si="2"/>
        <v>14593.5</v>
      </c>
      <c r="N5" s="31"/>
      <c r="O5" s="31"/>
      <c r="P5" s="32"/>
    </row>
    <row r="6" spans="1:19" ht="15.6" x14ac:dyDescent="0.3">
      <c r="A6" s="28">
        <v>46026</v>
      </c>
      <c r="B6" s="28"/>
      <c r="C6" s="28" t="s">
        <v>46</v>
      </c>
      <c r="D6" s="7">
        <v>14154</v>
      </c>
      <c r="E6" s="7" t="s">
        <v>47</v>
      </c>
      <c r="F6" s="7" t="s">
        <v>16</v>
      </c>
      <c r="G6" s="7" t="s">
        <v>45</v>
      </c>
      <c r="H6" s="7">
        <v>58</v>
      </c>
      <c r="I6" s="7">
        <v>167</v>
      </c>
      <c r="J6" s="13">
        <v>58</v>
      </c>
      <c r="K6" s="7">
        <f t="shared" si="0"/>
        <v>9686</v>
      </c>
      <c r="L6" s="29">
        <f t="shared" si="1"/>
        <v>1452.8999999999999</v>
      </c>
      <c r="M6" s="40">
        <f t="shared" si="2"/>
        <v>11138.9</v>
      </c>
      <c r="N6" s="31"/>
      <c r="O6" s="31"/>
      <c r="P6" s="32"/>
    </row>
    <row r="7" spans="1:19" ht="15.6" x14ac:dyDescent="0.3">
      <c r="A7" s="28">
        <v>46028</v>
      </c>
      <c r="B7" s="28"/>
      <c r="C7" s="28" t="s">
        <v>46</v>
      </c>
      <c r="D7" s="7">
        <v>14185</v>
      </c>
      <c r="E7" s="7" t="s">
        <v>47</v>
      </c>
      <c r="F7" s="7" t="s">
        <v>16</v>
      </c>
      <c r="G7" s="7" t="s">
        <v>45</v>
      </c>
      <c r="H7" s="7">
        <v>200</v>
      </c>
      <c r="I7" s="7">
        <v>166</v>
      </c>
      <c r="J7" s="13">
        <v>200</v>
      </c>
      <c r="K7" s="7">
        <f t="shared" si="0"/>
        <v>33200</v>
      </c>
      <c r="L7" s="29">
        <f t="shared" si="1"/>
        <v>4980</v>
      </c>
      <c r="M7" s="40">
        <f t="shared" si="2"/>
        <v>38180</v>
      </c>
      <c r="N7" s="31"/>
      <c r="O7" s="31"/>
      <c r="P7" s="32"/>
    </row>
    <row r="8" spans="1:19" ht="15.6" x14ac:dyDescent="0.3">
      <c r="A8" s="28">
        <v>46026</v>
      </c>
      <c r="B8" s="28"/>
      <c r="C8" s="28"/>
      <c r="D8" s="7">
        <v>576</v>
      </c>
      <c r="E8" s="7" t="s">
        <v>49</v>
      </c>
      <c r="F8" s="7" t="s">
        <v>50</v>
      </c>
      <c r="G8" s="7" t="s">
        <v>45</v>
      </c>
      <c r="H8" s="7">
        <v>1300</v>
      </c>
      <c r="I8" s="7">
        <v>307</v>
      </c>
      <c r="J8" s="13">
        <v>1300</v>
      </c>
      <c r="K8" s="7">
        <f t="shared" si="0"/>
        <v>399100</v>
      </c>
      <c r="L8" s="29">
        <f t="shared" si="1"/>
        <v>59865</v>
      </c>
      <c r="M8" s="40">
        <f t="shared" si="2"/>
        <v>458965</v>
      </c>
      <c r="N8" s="31"/>
      <c r="O8" s="31"/>
      <c r="P8" s="32"/>
    </row>
    <row r="9" spans="1:19" ht="15.6" x14ac:dyDescent="0.3">
      <c r="A9" s="28">
        <v>46028</v>
      </c>
      <c r="B9" s="33" t="s">
        <v>51</v>
      </c>
      <c r="C9" s="33"/>
      <c r="D9" s="34">
        <v>1</v>
      </c>
      <c r="E9" s="34" t="s">
        <v>52</v>
      </c>
      <c r="F9" s="34" t="s">
        <v>53</v>
      </c>
      <c r="G9" s="34" t="s">
        <v>45</v>
      </c>
      <c r="H9" s="34">
        <v>146</v>
      </c>
      <c r="I9" s="34">
        <v>62</v>
      </c>
      <c r="J9" s="35">
        <v>146</v>
      </c>
      <c r="K9" s="34">
        <f t="shared" si="0"/>
        <v>9052</v>
      </c>
      <c r="L9" s="36">
        <f t="shared" si="1"/>
        <v>1357.8</v>
      </c>
      <c r="M9" s="37">
        <f t="shared" si="2"/>
        <v>10409.799999999999</v>
      </c>
      <c r="N9" s="37"/>
      <c r="O9" s="37"/>
      <c r="P9" s="32"/>
    </row>
    <row r="10" spans="1:19" ht="15.6" x14ac:dyDescent="0.3">
      <c r="A10" s="28">
        <v>46029</v>
      </c>
      <c r="B10" s="28"/>
      <c r="C10" s="28" t="s">
        <v>46</v>
      </c>
      <c r="D10" s="7">
        <v>3</v>
      </c>
      <c r="E10" s="7" t="s">
        <v>17</v>
      </c>
      <c r="F10" s="7" t="s">
        <v>54</v>
      </c>
      <c r="G10" s="7" t="s">
        <v>45</v>
      </c>
      <c r="H10" s="7">
        <v>2400</v>
      </c>
      <c r="I10" s="7">
        <v>164</v>
      </c>
      <c r="J10" s="13">
        <v>2400</v>
      </c>
      <c r="K10" s="7">
        <f t="shared" si="0"/>
        <v>393600</v>
      </c>
      <c r="L10" s="29">
        <f t="shared" si="1"/>
        <v>59040</v>
      </c>
      <c r="M10" s="40">
        <f t="shared" si="2"/>
        <v>452640</v>
      </c>
      <c r="N10" s="31"/>
      <c r="O10" s="31"/>
      <c r="P10" s="32"/>
      <c r="S10" s="38"/>
    </row>
    <row r="11" spans="1:19" ht="15.6" x14ac:dyDescent="0.3">
      <c r="A11" s="28">
        <v>46030</v>
      </c>
      <c r="B11" s="28"/>
      <c r="C11" s="28"/>
      <c r="D11" s="7">
        <v>60</v>
      </c>
      <c r="E11" s="7" t="s">
        <v>43</v>
      </c>
      <c r="F11" s="7" t="s">
        <v>44</v>
      </c>
      <c r="G11" s="7" t="s">
        <v>45</v>
      </c>
      <c r="H11" s="7">
        <v>500</v>
      </c>
      <c r="I11" s="7">
        <v>79</v>
      </c>
      <c r="J11" s="13">
        <v>500</v>
      </c>
      <c r="K11" s="7">
        <f t="shared" si="0"/>
        <v>39500</v>
      </c>
      <c r="L11" s="29">
        <f t="shared" si="1"/>
        <v>5925</v>
      </c>
      <c r="M11" s="40">
        <f t="shared" si="2"/>
        <v>45425</v>
      </c>
      <c r="N11" s="31"/>
      <c r="O11" s="31"/>
      <c r="P11" s="32"/>
    </row>
    <row r="12" spans="1:19" ht="15.6" x14ac:dyDescent="0.3">
      <c r="A12" s="28">
        <v>46030</v>
      </c>
      <c r="B12" s="28"/>
      <c r="C12" s="28"/>
      <c r="D12" s="7">
        <v>60</v>
      </c>
      <c r="E12" s="7" t="s">
        <v>43</v>
      </c>
      <c r="F12" s="7" t="s">
        <v>55</v>
      </c>
      <c r="G12" s="7" t="s">
        <v>45</v>
      </c>
      <c r="H12" s="7">
        <v>95</v>
      </c>
      <c r="I12" s="7">
        <v>79</v>
      </c>
      <c r="J12" s="13">
        <v>95</v>
      </c>
      <c r="K12" s="7">
        <f t="shared" si="0"/>
        <v>7505</v>
      </c>
      <c r="L12" s="29">
        <f t="shared" si="1"/>
        <v>1125.75</v>
      </c>
      <c r="M12" s="40">
        <f t="shared" si="2"/>
        <v>8630.75</v>
      </c>
      <c r="N12" s="31"/>
      <c r="O12" s="31"/>
      <c r="P12" s="39"/>
    </row>
    <row r="13" spans="1:19" ht="15.6" x14ac:dyDescent="0.3">
      <c r="A13" s="28">
        <v>46030</v>
      </c>
      <c r="B13" s="28"/>
      <c r="C13" s="28"/>
      <c r="D13" s="7">
        <v>5</v>
      </c>
      <c r="E13" s="7" t="s">
        <v>17</v>
      </c>
      <c r="F13" s="7" t="s">
        <v>56</v>
      </c>
      <c r="G13" s="7" t="s">
        <v>45</v>
      </c>
      <c r="H13" s="7">
        <v>1000</v>
      </c>
      <c r="I13" s="7">
        <v>350</v>
      </c>
      <c r="J13" s="7">
        <v>1000</v>
      </c>
      <c r="K13" s="7">
        <f t="shared" si="0"/>
        <v>350000</v>
      </c>
      <c r="L13" s="29">
        <f t="shared" si="1"/>
        <v>52500</v>
      </c>
      <c r="M13" s="40">
        <f t="shared" si="2"/>
        <v>402500</v>
      </c>
      <c r="N13" s="31"/>
      <c r="O13" s="31"/>
      <c r="P13" s="32"/>
    </row>
    <row r="14" spans="1:19" ht="15.6" x14ac:dyDescent="0.3">
      <c r="A14" s="28">
        <v>46030</v>
      </c>
      <c r="B14" s="28"/>
      <c r="C14" s="28"/>
      <c r="D14" s="7">
        <v>5</v>
      </c>
      <c r="E14" s="7" t="s">
        <v>17</v>
      </c>
      <c r="F14" s="7" t="s">
        <v>50</v>
      </c>
      <c r="G14" s="7" t="s">
        <v>45</v>
      </c>
      <c r="H14" s="7">
        <v>330</v>
      </c>
      <c r="I14" s="7">
        <v>308</v>
      </c>
      <c r="J14" s="7">
        <v>330</v>
      </c>
      <c r="K14" s="7">
        <f t="shared" si="0"/>
        <v>101640</v>
      </c>
      <c r="L14" s="29">
        <f t="shared" si="1"/>
        <v>15246</v>
      </c>
      <c r="M14" s="40">
        <f t="shared" si="2"/>
        <v>116886</v>
      </c>
      <c r="N14" s="31"/>
      <c r="O14" s="31"/>
      <c r="P14" s="32"/>
    </row>
    <row r="15" spans="1:19" ht="15.6" x14ac:dyDescent="0.3">
      <c r="A15" s="28">
        <v>46033</v>
      </c>
      <c r="B15" s="28"/>
      <c r="C15" s="28" t="s">
        <v>46</v>
      </c>
      <c r="D15" s="7">
        <v>8291</v>
      </c>
      <c r="E15" s="7" t="s">
        <v>57</v>
      </c>
      <c r="F15" s="7" t="s">
        <v>58</v>
      </c>
      <c r="G15" s="7" t="s">
        <v>45</v>
      </c>
      <c r="H15" s="7">
        <v>250</v>
      </c>
      <c r="I15" s="7">
        <v>41</v>
      </c>
      <c r="J15" s="7">
        <v>250</v>
      </c>
      <c r="K15" s="7">
        <f t="shared" si="0"/>
        <v>10250</v>
      </c>
      <c r="L15" s="29">
        <f t="shared" si="1"/>
        <v>1537.5</v>
      </c>
      <c r="M15" s="40">
        <f t="shared" si="2"/>
        <v>11787.5</v>
      </c>
      <c r="N15" s="31"/>
      <c r="O15" s="31"/>
      <c r="P15" s="32"/>
    </row>
    <row r="16" spans="1:19" ht="15.6" x14ac:dyDescent="0.3">
      <c r="A16" s="28">
        <v>46037</v>
      </c>
      <c r="B16" s="28"/>
      <c r="C16" s="28"/>
      <c r="D16" s="7">
        <v>9</v>
      </c>
      <c r="E16" s="7" t="s">
        <v>17</v>
      </c>
      <c r="F16" s="7" t="s">
        <v>59</v>
      </c>
      <c r="G16" s="7" t="s">
        <v>45</v>
      </c>
      <c r="H16" s="7">
        <v>100</v>
      </c>
      <c r="I16" s="7">
        <v>340</v>
      </c>
      <c r="J16" s="7">
        <v>100</v>
      </c>
      <c r="K16" s="7">
        <f t="shared" si="0"/>
        <v>34000</v>
      </c>
      <c r="L16" s="29">
        <f t="shared" si="1"/>
        <v>5100</v>
      </c>
      <c r="M16" s="40">
        <f t="shared" si="2"/>
        <v>39100</v>
      </c>
      <c r="N16" s="31"/>
      <c r="O16" s="31"/>
      <c r="P16" s="32"/>
    </row>
    <row r="17" spans="1:17" ht="15.6" x14ac:dyDescent="0.3">
      <c r="A17" s="28">
        <v>46037</v>
      </c>
      <c r="B17" s="28"/>
      <c r="C17" s="28"/>
      <c r="D17" s="7">
        <v>9</v>
      </c>
      <c r="E17" s="7" t="s">
        <v>17</v>
      </c>
      <c r="F17" s="7" t="s">
        <v>60</v>
      </c>
      <c r="G17" s="7" t="s">
        <v>45</v>
      </c>
      <c r="H17" s="7">
        <v>50</v>
      </c>
      <c r="I17" s="7">
        <v>340</v>
      </c>
      <c r="J17" s="7">
        <v>50</v>
      </c>
      <c r="K17" s="7">
        <f t="shared" si="0"/>
        <v>17000</v>
      </c>
      <c r="L17" s="29">
        <f t="shared" si="1"/>
        <v>2550</v>
      </c>
      <c r="M17" s="40">
        <f t="shared" si="2"/>
        <v>19550</v>
      </c>
      <c r="N17" s="31"/>
      <c r="O17" s="31"/>
      <c r="P17" s="32"/>
    </row>
    <row r="18" spans="1:17" ht="15.6" x14ac:dyDescent="0.3">
      <c r="A18" s="28">
        <v>46037</v>
      </c>
      <c r="B18" s="28"/>
      <c r="C18" s="28"/>
      <c r="D18" s="7">
        <v>9</v>
      </c>
      <c r="E18" s="7" t="s">
        <v>17</v>
      </c>
      <c r="F18" s="7" t="s">
        <v>61</v>
      </c>
      <c r="G18" s="7" t="s">
        <v>45</v>
      </c>
      <c r="H18" s="7">
        <v>570</v>
      </c>
      <c r="I18" s="7">
        <v>340</v>
      </c>
      <c r="J18" s="7">
        <v>570</v>
      </c>
      <c r="K18" s="7">
        <f t="shared" si="0"/>
        <v>193800</v>
      </c>
      <c r="L18" s="29">
        <f t="shared" si="1"/>
        <v>29070</v>
      </c>
      <c r="M18" s="40">
        <f t="shared" si="2"/>
        <v>222870</v>
      </c>
      <c r="N18" s="31"/>
      <c r="O18" s="31"/>
      <c r="P18" s="32"/>
    </row>
    <row r="19" spans="1:17" ht="15.6" x14ac:dyDescent="0.3">
      <c r="A19" s="28">
        <v>46037</v>
      </c>
      <c r="B19" s="28"/>
      <c r="C19" s="28"/>
      <c r="D19" s="7">
        <v>9</v>
      </c>
      <c r="E19" s="7" t="s">
        <v>17</v>
      </c>
      <c r="F19" s="7" t="s">
        <v>62</v>
      </c>
      <c r="G19" s="7" t="s">
        <v>45</v>
      </c>
      <c r="H19" s="7">
        <v>200</v>
      </c>
      <c r="I19" s="7">
        <v>300</v>
      </c>
      <c r="J19" s="7">
        <v>200</v>
      </c>
      <c r="K19" s="7">
        <f t="shared" si="0"/>
        <v>60000</v>
      </c>
      <c r="L19" s="29">
        <f t="shared" si="1"/>
        <v>9000</v>
      </c>
      <c r="M19" s="40">
        <f t="shared" si="2"/>
        <v>69000</v>
      </c>
      <c r="N19" s="31"/>
      <c r="O19" s="31"/>
      <c r="P19" s="32"/>
    </row>
    <row r="20" spans="1:17" ht="15.6" x14ac:dyDescent="0.3">
      <c r="A20" s="28">
        <v>46039</v>
      </c>
      <c r="B20" s="28"/>
      <c r="C20" s="28"/>
      <c r="D20" s="7">
        <v>120</v>
      </c>
      <c r="E20" s="7" t="s">
        <v>43</v>
      </c>
      <c r="F20" s="7" t="s">
        <v>63</v>
      </c>
      <c r="G20" s="7" t="s">
        <v>45</v>
      </c>
      <c r="H20" s="7">
        <v>2280</v>
      </c>
      <c r="I20" s="7">
        <v>83</v>
      </c>
      <c r="J20" s="7">
        <v>2280</v>
      </c>
      <c r="K20" s="7">
        <f t="shared" si="0"/>
        <v>189240</v>
      </c>
      <c r="L20" s="29">
        <f t="shared" si="1"/>
        <v>28386</v>
      </c>
      <c r="M20" s="40">
        <f t="shared" si="2"/>
        <v>217626</v>
      </c>
      <c r="N20" s="31"/>
      <c r="O20" s="31"/>
      <c r="P20" s="32"/>
    </row>
    <row r="21" spans="1:17" ht="15.6" x14ac:dyDescent="0.3">
      <c r="A21" s="28">
        <v>46041</v>
      </c>
      <c r="B21" s="28"/>
      <c r="C21" s="28"/>
      <c r="D21" s="7">
        <v>2568</v>
      </c>
      <c r="E21" s="7" t="s">
        <v>64</v>
      </c>
      <c r="F21" s="7" t="s">
        <v>65</v>
      </c>
      <c r="G21" s="7" t="s">
        <v>45</v>
      </c>
      <c r="H21" s="7">
        <v>100</v>
      </c>
      <c r="I21" s="7">
        <v>152</v>
      </c>
      <c r="J21" s="7">
        <v>100</v>
      </c>
      <c r="K21" s="7">
        <f t="shared" si="0"/>
        <v>15200</v>
      </c>
      <c r="L21" s="29">
        <f t="shared" si="1"/>
        <v>2280</v>
      </c>
      <c r="M21" s="40">
        <f t="shared" si="2"/>
        <v>17480</v>
      </c>
      <c r="N21" s="31"/>
      <c r="O21" s="31"/>
      <c r="P21" s="39"/>
    </row>
    <row r="22" spans="1:17" ht="15.6" x14ac:dyDescent="0.3">
      <c r="A22" s="28">
        <v>46054</v>
      </c>
      <c r="B22" s="28"/>
      <c r="C22" s="28"/>
      <c r="D22" s="7">
        <v>755</v>
      </c>
      <c r="E22" s="7" t="s">
        <v>49</v>
      </c>
      <c r="F22" s="7" t="s">
        <v>22</v>
      </c>
      <c r="G22" s="7" t="s">
        <v>45</v>
      </c>
      <c r="H22" s="7">
        <v>2700</v>
      </c>
      <c r="I22" s="7">
        <v>162</v>
      </c>
      <c r="J22" s="7">
        <v>2700</v>
      </c>
      <c r="K22" s="7">
        <f t="shared" si="0"/>
        <v>437400</v>
      </c>
      <c r="L22" s="29">
        <f t="shared" si="1"/>
        <v>65610</v>
      </c>
      <c r="M22" s="40">
        <f t="shared" si="2"/>
        <v>503010</v>
      </c>
      <c r="N22" s="31"/>
      <c r="O22" s="31"/>
      <c r="P22" s="39"/>
    </row>
    <row r="23" spans="1:17" ht="15.6" x14ac:dyDescent="0.3">
      <c r="A23" s="28">
        <v>46054</v>
      </c>
      <c r="B23" s="28"/>
      <c r="C23" s="28"/>
      <c r="D23" s="7">
        <v>755</v>
      </c>
      <c r="E23" s="7" t="s">
        <v>49</v>
      </c>
      <c r="F23" s="7" t="s">
        <v>16</v>
      </c>
      <c r="G23" s="7" t="s">
        <v>45</v>
      </c>
      <c r="H23" s="7">
        <v>2448</v>
      </c>
      <c r="I23" s="7">
        <v>162</v>
      </c>
      <c r="J23" s="7">
        <v>2448</v>
      </c>
      <c r="K23" s="7">
        <f t="shared" si="0"/>
        <v>396576</v>
      </c>
      <c r="L23" s="29">
        <f t="shared" si="1"/>
        <v>59486.399999999994</v>
      </c>
      <c r="M23" s="40">
        <f t="shared" si="2"/>
        <v>456062.4</v>
      </c>
      <c r="N23" s="31"/>
      <c r="O23" s="31"/>
      <c r="P23" s="39"/>
    </row>
    <row r="24" spans="1:17" ht="15.6" x14ac:dyDescent="0.3">
      <c r="A24" s="28">
        <v>46056</v>
      </c>
      <c r="B24" s="28"/>
      <c r="C24" s="28" t="s">
        <v>46</v>
      </c>
      <c r="D24" s="7">
        <v>8344</v>
      </c>
      <c r="E24" s="7" t="s">
        <v>57</v>
      </c>
      <c r="F24" s="7" t="s">
        <v>58</v>
      </c>
      <c r="G24" s="7" t="s">
        <v>45</v>
      </c>
      <c r="H24" s="7">
        <v>250</v>
      </c>
      <c r="I24" s="7">
        <v>39</v>
      </c>
      <c r="J24" s="7">
        <v>250</v>
      </c>
      <c r="K24" s="7">
        <f t="shared" si="0"/>
        <v>9750</v>
      </c>
      <c r="L24" s="29">
        <f t="shared" si="1"/>
        <v>1462.5</v>
      </c>
      <c r="M24" s="40">
        <f t="shared" si="2"/>
        <v>11212.5</v>
      </c>
      <c r="N24" s="31"/>
      <c r="O24" s="31"/>
      <c r="P24" s="39"/>
    </row>
    <row r="25" spans="1:17" ht="15.6" x14ac:dyDescent="0.3">
      <c r="A25" s="28">
        <v>46060</v>
      </c>
      <c r="B25" s="28"/>
      <c r="C25" s="28" t="s">
        <v>46</v>
      </c>
      <c r="D25" s="7">
        <v>2050</v>
      </c>
      <c r="E25" s="7" t="s">
        <v>66</v>
      </c>
      <c r="F25" s="7" t="s">
        <v>67</v>
      </c>
      <c r="G25" s="7" t="s">
        <v>45</v>
      </c>
      <c r="H25" s="7">
        <v>120</v>
      </c>
      <c r="I25" s="7">
        <v>9.75</v>
      </c>
      <c r="J25" s="7">
        <v>120</v>
      </c>
      <c r="K25" s="7">
        <f t="shared" si="0"/>
        <v>1170</v>
      </c>
      <c r="L25" s="29">
        <f t="shared" si="1"/>
        <v>175.5</v>
      </c>
      <c r="M25" s="30">
        <f t="shared" si="2"/>
        <v>1345.5</v>
      </c>
      <c r="N25" s="31"/>
      <c r="O25" s="31"/>
      <c r="P25" s="39"/>
    </row>
    <row r="26" spans="1:17" ht="15.6" x14ac:dyDescent="0.3">
      <c r="A26" s="28">
        <v>46060</v>
      </c>
      <c r="B26" s="28"/>
      <c r="C26" s="28" t="s">
        <v>46</v>
      </c>
      <c r="D26" s="7">
        <v>42528</v>
      </c>
      <c r="E26" s="7" t="s">
        <v>20</v>
      </c>
      <c r="F26" s="7" t="s">
        <v>219</v>
      </c>
      <c r="G26" s="7" t="s">
        <v>45</v>
      </c>
      <c r="H26" s="7">
        <v>7</v>
      </c>
      <c r="I26" s="7">
        <v>29.5</v>
      </c>
      <c r="J26" s="7">
        <v>114.2</v>
      </c>
      <c r="K26" s="7">
        <f t="shared" si="0"/>
        <v>3368.9</v>
      </c>
      <c r="L26" s="29">
        <f t="shared" si="1"/>
        <v>505.33499999999998</v>
      </c>
      <c r="M26" s="30">
        <f t="shared" si="2"/>
        <v>3874.2350000000001</v>
      </c>
      <c r="N26" s="31"/>
      <c r="O26" s="31"/>
      <c r="P26" s="39"/>
    </row>
    <row r="27" spans="1:17" ht="15.6" x14ac:dyDescent="0.3">
      <c r="A27" s="28">
        <v>46062</v>
      </c>
      <c r="B27" s="28"/>
      <c r="C27" s="28" t="s">
        <v>46</v>
      </c>
      <c r="D27" s="7">
        <v>30</v>
      </c>
      <c r="E27" s="7" t="s">
        <v>17</v>
      </c>
      <c r="F27" s="7" t="s">
        <v>21</v>
      </c>
      <c r="G27" s="7" t="s">
        <v>45</v>
      </c>
      <c r="H27" s="7">
        <v>751</v>
      </c>
      <c r="I27" s="7">
        <v>304</v>
      </c>
      <c r="J27" s="7">
        <v>751</v>
      </c>
      <c r="K27" s="7">
        <f t="shared" si="0"/>
        <v>228304</v>
      </c>
      <c r="L27" s="29">
        <f t="shared" si="1"/>
        <v>34245.599999999999</v>
      </c>
      <c r="M27" s="30">
        <f t="shared" si="2"/>
        <v>262549.59999999998</v>
      </c>
      <c r="N27" s="31"/>
      <c r="O27" s="31"/>
      <c r="P27" s="39"/>
    </row>
    <row r="28" spans="1:17" ht="15.6" x14ac:dyDescent="0.3">
      <c r="A28" s="28">
        <v>46062</v>
      </c>
      <c r="B28" s="28"/>
      <c r="C28" s="28" t="s">
        <v>46</v>
      </c>
      <c r="D28" s="7">
        <v>30</v>
      </c>
      <c r="E28" s="7" t="s">
        <v>17</v>
      </c>
      <c r="F28" s="7" t="s">
        <v>18</v>
      </c>
      <c r="G28" s="7" t="s">
        <v>45</v>
      </c>
      <c r="H28" s="7">
        <v>569</v>
      </c>
      <c r="I28" s="7">
        <v>345</v>
      </c>
      <c r="J28" s="7">
        <v>569</v>
      </c>
      <c r="K28" s="7">
        <f t="shared" si="0"/>
        <v>196305</v>
      </c>
      <c r="L28" s="29">
        <f t="shared" si="1"/>
        <v>29445.75</v>
      </c>
      <c r="M28" s="30">
        <f t="shared" si="2"/>
        <v>225750.75</v>
      </c>
      <c r="N28" s="31"/>
      <c r="O28" s="31"/>
      <c r="P28" s="39"/>
    </row>
    <row r="29" spans="1:17" ht="15.6" x14ac:dyDescent="0.3">
      <c r="A29" s="28">
        <v>46062</v>
      </c>
      <c r="B29" s="28"/>
      <c r="C29" s="28" t="s">
        <v>46</v>
      </c>
      <c r="D29" s="7">
        <v>30</v>
      </c>
      <c r="E29" s="7" t="s">
        <v>17</v>
      </c>
      <c r="F29" s="7" t="s">
        <v>68</v>
      </c>
      <c r="G29" s="7" t="s">
        <v>45</v>
      </c>
      <c r="H29" s="7">
        <v>30</v>
      </c>
      <c r="I29" s="7">
        <v>680</v>
      </c>
      <c r="J29" s="7">
        <v>30</v>
      </c>
      <c r="K29" s="7">
        <f t="shared" si="0"/>
        <v>20400</v>
      </c>
      <c r="L29" s="29">
        <f t="shared" si="1"/>
        <v>3060</v>
      </c>
      <c r="M29" s="30">
        <f t="shared" si="2"/>
        <v>23460</v>
      </c>
      <c r="N29" s="31"/>
      <c r="O29" s="31"/>
      <c r="P29" s="39"/>
    </row>
    <row r="30" spans="1:17" ht="15.6" x14ac:dyDescent="0.3">
      <c r="A30" s="28">
        <v>46063</v>
      </c>
      <c r="B30" s="28"/>
      <c r="C30" s="28" t="s">
        <v>46</v>
      </c>
      <c r="D30" s="7">
        <v>8355</v>
      </c>
      <c r="E30" s="7" t="s">
        <v>57</v>
      </c>
      <c r="F30" s="7" t="s">
        <v>58</v>
      </c>
      <c r="G30" s="7" t="s">
        <v>45</v>
      </c>
      <c r="H30" s="7">
        <v>250</v>
      </c>
      <c r="I30" s="7">
        <v>39</v>
      </c>
      <c r="J30" s="7">
        <v>250</v>
      </c>
      <c r="K30" s="7">
        <f t="shared" si="0"/>
        <v>9750</v>
      </c>
      <c r="L30" s="29">
        <f t="shared" si="1"/>
        <v>1462.5</v>
      </c>
      <c r="M30" s="30">
        <f t="shared" si="2"/>
        <v>11212.5</v>
      </c>
      <c r="N30" s="31"/>
      <c r="O30" s="31"/>
      <c r="P30" s="39"/>
    </row>
    <row r="31" spans="1:17" ht="15.6" x14ac:dyDescent="0.3">
      <c r="A31" s="28">
        <v>46063</v>
      </c>
      <c r="B31" s="28"/>
      <c r="C31" s="28"/>
      <c r="D31" s="7">
        <v>298</v>
      </c>
      <c r="E31" s="7" t="s">
        <v>43</v>
      </c>
      <c r="F31" s="7" t="s">
        <v>218</v>
      </c>
      <c r="G31" s="7" t="s">
        <v>45</v>
      </c>
      <c r="H31" s="7">
        <v>610</v>
      </c>
      <c r="I31" s="7">
        <v>90</v>
      </c>
      <c r="J31" s="7">
        <v>610</v>
      </c>
      <c r="K31" s="7">
        <f t="shared" si="0"/>
        <v>54900</v>
      </c>
      <c r="L31" s="29">
        <f t="shared" si="1"/>
        <v>8235</v>
      </c>
      <c r="M31" s="30">
        <f t="shared" si="2"/>
        <v>63135</v>
      </c>
      <c r="N31" s="40"/>
      <c r="O31" s="40"/>
      <c r="P31" s="41"/>
      <c r="Q31" s="38"/>
    </row>
    <row r="32" spans="1:17" ht="15.6" x14ac:dyDescent="0.3">
      <c r="A32" s="28">
        <v>46063</v>
      </c>
      <c r="B32" s="28"/>
      <c r="C32" s="28"/>
      <c r="D32" s="7">
        <v>806</v>
      </c>
      <c r="E32" s="7" t="s">
        <v>49</v>
      </c>
      <c r="F32" s="7" t="s">
        <v>16</v>
      </c>
      <c r="G32" s="7" t="s">
        <v>45</v>
      </c>
      <c r="H32" s="7">
        <v>2400</v>
      </c>
      <c r="I32" s="7">
        <v>162</v>
      </c>
      <c r="J32" s="7">
        <v>2400</v>
      </c>
      <c r="K32" s="7">
        <f t="shared" si="0"/>
        <v>388800</v>
      </c>
      <c r="L32" s="29">
        <f t="shared" si="1"/>
        <v>58320</v>
      </c>
      <c r="M32" s="30">
        <f t="shared" si="2"/>
        <v>447120</v>
      </c>
      <c r="N32" s="31"/>
      <c r="O32" s="31"/>
      <c r="P32" s="39"/>
    </row>
    <row r="33" spans="1:16" ht="15.6" x14ac:dyDescent="0.3">
      <c r="A33" s="28">
        <v>46062</v>
      </c>
      <c r="B33" s="28"/>
      <c r="C33" s="28"/>
      <c r="D33" s="7">
        <v>2817</v>
      </c>
      <c r="E33" s="7" t="s">
        <v>64</v>
      </c>
      <c r="F33" s="7" t="s">
        <v>69</v>
      </c>
      <c r="G33" s="7" t="s">
        <v>45</v>
      </c>
      <c r="H33" s="7">
        <v>600</v>
      </c>
      <c r="I33" s="7">
        <v>342</v>
      </c>
      <c r="J33" s="7">
        <v>600</v>
      </c>
      <c r="K33" s="7">
        <f t="shared" si="0"/>
        <v>205200</v>
      </c>
      <c r="L33" s="42">
        <f t="shared" si="1"/>
        <v>30780</v>
      </c>
      <c r="M33" s="30">
        <f t="shared" si="2"/>
        <v>235980</v>
      </c>
      <c r="N33" s="31"/>
      <c r="O33" s="31"/>
      <c r="P33" s="39"/>
    </row>
    <row r="34" spans="1:16" ht="15.6" x14ac:dyDescent="0.3">
      <c r="A34" s="28">
        <v>46062</v>
      </c>
      <c r="B34" s="28"/>
      <c r="C34" s="28"/>
      <c r="D34" s="7">
        <v>2817</v>
      </c>
      <c r="E34" s="7" t="s">
        <v>64</v>
      </c>
      <c r="F34" s="7" t="s">
        <v>70</v>
      </c>
      <c r="G34" s="7" t="s">
        <v>45</v>
      </c>
      <c r="H34" s="7">
        <v>594</v>
      </c>
      <c r="I34" s="7">
        <v>342</v>
      </c>
      <c r="J34" s="7">
        <v>594</v>
      </c>
      <c r="K34" s="7">
        <f t="shared" si="0"/>
        <v>203148</v>
      </c>
      <c r="L34" s="29">
        <f t="shared" si="1"/>
        <v>30472.199999999997</v>
      </c>
      <c r="M34" s="30">
        <f t="shared" si="2"/>
        <v>233620.2</v>
      </c>
      <c r="N34" s="31"/>
      <c r="O34" s="31"/>
      <c r="P34" s="39"/>
    </row>
    <row r="35" spans="1:16" ht="15.6" x14ac:dyDescent="0.3">
      <c r="A35" s="28">
        <v>46062</v>
      </c>
      <c r="B35" s="28"/>
      <c r="C35" s="28"/>
      <c r="D35" s="7">
        <v>2817</v>
      </c>
      <c r="E35" s="7" t="s">
        <v>64</v>
      </c>
      <c r="F35" s="7" t="s">
        <v>71</v>
      </c>
      <c r="G35" s="7" t="s">
        <v>45</v>
      </c>
      <c r="H35" s="7">
        <v>204</v>
      </c>
      <c r="I35" s="7">
        <v>342</v>
      </c>
      <c r="J35" s="7">
        <v>204</v>
      </c>
      <c r="K35" s="7">
        <f t="shared" si="0"/>
        <v>69768</v>
      </c>
      <c r="L35" s="29">
        <f t="shared" si="1"/>
        <v>10465.199999999999</v>
      </c>
      <c r="M35" s="30">
        <f t="shared" si="2"/>
        <v>80233.2</v>
      </c>
      <c r="N35" s="31"/>
      <c r="O35" s="31"/>
      <c r="P35" s="39"/>
    </row>
    <row r="36" spans="1:16" ht="15.6" x14ac:dyDescent="0.3">
      <c r="A36" s="28">
        <v>46062</v>
      </c>
      <c r="B36" s="28"/>
      <c r="C36" s="28"/>
      <c r="D36" s="7">
        <v>2817</v>
      </c>
      <c r="E36" s="7" t="s">
        <v>64</v>
      </c>
      <c r="F36" s="6" t="s">
        <v>72</v>
      </c>
      <c r="G36" s="7" t="s">
        <v>45</v>
      </c>
      <c r="H36" s="7">
        <v>102</v>
      </c>
      <c r="I36" s="7">
        <v>335</v>
      </c>
      <c r="J36" s="7">
        <v>102</v>
      </c>
      <c r="K36" s="7">
        <f t="shared" si="0"/>
        <v>34170</v>
      </c>
      <c r="L36" s="29">
        <f t="shared" si="1"/>
        <v>5125.5</v>
      </c>
      <c r="M36" s="30">
        <f t="shared" si="2"/>
        <v>39295.5</v>
      </c>
      <c r="N36" s="31"/>
      <c r="O36" s="31"/>
      <c r="P36" s="39"/>
    </row>
    <row r="37" spans="1:16" ht="15.6" x14ac:dyDescent="0.3">
      <c r="A37" s="28">
        <v>46065</v>
      </c>
      <c r="B37" s="28"/>
      <c r="C37" s="28"/>
      <c r="D37" s="7">
        <v>8364</v>
      </c>
      <c r="E37" s="7" t="s">
        <v>57</v>
      </c>
      <c r="F37" s="6" t="s">
        <v>58</v>
      </c>
      <c r="G37" s="7" t="s">
        <v>45</v>
      </c>
      <c r="H37" s="7">
        <v>100</v>
      </c>
      <c r="I37" s="7">
        <v>39</v>
      </c>
      <c r="J37" s="7">
        <v>100</v>
      </c>
      <c r="K37" s="7">
        <f t="shared" si="0"/>
        <v>3900</v>
      </c>
      <c r="L37" s="29">
        <f t="shared" si="1"/>
        <v>585</v>
      </c>
      <c r="M37" s="30">
        <f t="shared" si="2"/>
        <v>4485</v>
      </c>
      <c r="N37" s="31"/>
      <c r="O37" s="31"/>
      <c r="P37" s="39"/>
    </row>
    <row r="38" spans="1:16" ht="15.6" x14ac:dyDescent="0.3">
      <c r="A38" s="28">
        <v>46068</v>
      </c>
      <c r="B38" s="28"/>
      <c r="C38" s="28"/>
      <c r="D38" s="7">
        <v>838</v>
      </c>
      <c r="E38" s="7" t="s">
        <v>49</v>
      </c>
      <c r="F38" s="7" t="s">
        <v>22</v>
      </c>
      <c r="G38" s="7" t="s">
        <v>45</v>
      </c>
      <c r="H38" s="7">
        <v>2500</v>
      </c>
      <c r="I38" s="7">
        <v>162</v>
      </c>
      <c r="J38" s="7">
        <v>2500</v>
      </c>
      <c r="K38" s="7">
        <f t="shared" si="0"/>
        <v>405000</v>
      </c>
      <c r="L38" s="29">
        <f t="shared" si="1"/>
        <v>60750</v>
      </c>
      <c r="M38" s="30">
        <f t="shared" si="2"/>
        <v>465750</v>
      </c>
      <c r="N38" s="31"/>
      <c r="O38" s="31"/>
      <c r="P38" s="39"/>
    </row>
    <row r="39" spans="1:16" ht="15.6" x14ac:dyDescent="0.3">
      <c r="A39" s="28">
        <v>46068</v>
      </c>
      <c r="B39" s="28"/>
      <c r="C39" s="28" t="s">
        <v>46</v>
      </c>
      <c r="D39" s="7">
        <v>404</v>
      </c>
      <c r="E39" s="7" t="s">
        <v>73</v>
      </c>
      <c r="F39" s="7" t="s">
        <v>74</v>
      </c>
      <c r="G39" s="7" t="s">
        <v>45</v>
      </c>
      <c r="H39" s="7">
        <v>50</v>
      </c>
      <c r="I39" s="7">
        <v>155</v>
      </c>
      <c r="J39" s="7">
        <v>50</v>
      </c>
      <c r="K39" s="7">
        <f t="shared" si="0"/>
        <v>7750</v>
      </c>
      <c r="L39" s="29">
        <f t="shared" si="1"/>
        <v>1162.5</v>
      </c>
      <c r="M39" s="30">
        <f t="shared" si="2"/>
        <v>8912.5</v>
      </c>
      <c r="N39" s="31"/>
      <c r="O39" s="31"/>
      <c r="P39" s="39"/>
    </row>
    <row r="40" spans="1:16" ht="15.6" x14ac:dyDescent="0.3">
      <c r="A40" s="28">
        <v>46069</v>
      </c>
      <c r="B40" s="28"/>
      <c r="C40" s="28"/>
      <c r="D40" s="7">
        <v>840</v>
      </c>
      <c r="E40" s="7" t="s">
        <v>49</v>
      </c>
      <c r="F40" s="7" t="s">
        <v>22</v>
      </c>
      <c r="G40" s="7" t="s">
        <v>45</v>
      </c>
      <c r="H40" s="7">
        <v>2500</v>
      </c>
      <c r="I40" s="7">
        <v>162</v>
      </c>
      <c r="J40" s="7">
        <v>2500</v>
      </c>
      <c r="K40" s="7">
        <f t="shared" si="0"/>
        <v>405000</v>
      </c>
      <c r="L40" s="29">
        <f t="shared" si="1"/>
        <v>60750</v>
      </c>
      <c r="M40" s="30">
        <f t="shared" si="2"/>
        <v>465750</v>
      </c>
      <c r="N40" s="31"/>
      <c r="O40" s="31"/>
      <c r="P40" s="39"/>
    </row>
    <row r="41" spans="1:16" ht="15.6" x14ac:dyDescent="0.3">
      <c r="A41" s="28">
        <v>46069</v>
      </c>
      <c r="B41" s="28"/>
      <c r="C41" s="28"/>
      <c r="D41" s="7">
        <v>45</v>
      </c>
      <c r="E41" s="7" t="s">
        <v>17</v>
      </c>
      <c r="F41" s="7" t="s">
        <v>21</v>
      </c>
      <c r="G41" s="7" t="s">
        <v>45</v>
      </c>
      <c r="H41" s="43">
        <v>751</v>
      </c>
      <c r="I41" s="7">
        <v>304</v>
      </c>
      <c r="J41" s="43">
        <v>751</v>
      </c>
      <c r="K41" s="7">
        <f t="shared" si="0"/>
        <v>228304</v>
      </c>
      <c r="L41" s="29">
        <f t="shared" si="1"/>
        <v>34245.599999999999</v>
      </c>
      <c r="M41" s="30">
        <f t="shared" si="2"/>
        <v>262549.59999999998</v>
      </c>
      <c r="N41" s="31"/>
      <c r="O41" s="31"/>
      <c r="P41" s="39"/>
    </row>
    <row r="42" spans="1:16" ht="15.6" x14ac:dyDescent="0.3">
      <c r="A42" s="28">
        <v>46069</v>
      </c>
      <c r="B42" s="28"/>
      <c r="C42" s="28"/>
      <c r="D42" s="7">
        <v>45</v>
      </c>
      <c r="E42" s="7" t="s">
        <v>17</v>
      </c>
      <c r="F42" s="7" t="s">
        <v>18</v>
      </c>
      <c r="G42" s="7" t="s">
        <v>45</v>
      </c>
      <c r="H42" s="43">
        <v>569</v>
      </c>
      <c r="I42" s="7">
        <v>345</v>
      </c>
      <c r="J42" s="43">
        <v>569</v>
      </c>
      <c r="K42" s="7">
        <f t="shared" si="0"/>
        <v>196305</v>
      </c>
      <c r="L42" s="29">
        <f t="shared" si="1"/>
        <v>29445.75</v>
      </c>
      <c r="M42" s="30">
        <f t="shared" si="2"/>
        <v>225750.75</v>
      </c>
      <c r="N42" s="31"/>
      <c r="O42" s="31"/>
      <c r="P42" s="39"/>
    </row>
    <row r="43" spans="1:16" ht="15.6" x14ac:dyDescent="0.3">
      <c r="A43" s="28">
        <v>46069</v>
      </c>
      <c r="B43" s="28"/>
      <c r="C43" s="28"/>
      <c r="D43" s="7">
        <v>45</v>
      </c>
      <c r="E43" s="7" t="s">
        <v>17</v>
      </c>
      <c r="F43" s="7" t="s">
        <v>68</v>
      </c>
      <c r="G43" s="7" t="s">
        <v>45</v>
      </c>
      <c r="H43" s="43">
        <v>30</v>
      </c>
      <c r="I43" s="7">
        <v>680</v>
      </c>
      <c r="J43" s="43">
        <v>30</v>
      </c>
      <c r="K43" s="7">
        <f t="shared" si="0"/>
        <v>20400</v>
      </c>
      <c r="L43" s="29">
        <f t="shared" si="1"/>
        <v>3060</v>
      </c>
      <c r="M43" s="30">
        <f t="shared" si="2"/>
        <v>23460</v>
      </c>
      <c r="N43" s="31"/>
      <c r="O43" s="31"/>
      <c r="P43" s="39"/>
    </row>
    <row r="44" spans="1:16" x14ac:dyDescent="0.3">
      <c r="A44" s="28">
        <v>46070</v>
      </c>
      <c r="B44" s="28"/>
      <c r="C44" s="28"/>
      <c r="D44" s="7">
        <v>49</v>
      </c>
      <c r="E44" s="7" t="s">
        <v>17</v>
      </c>
      <c r="F44" s="7" t="s">
        <v>75</v>
      </c>
      <c r="G44" s="7" t="s">
        <v>76</v>
      </c>
      <c r="H44" s="43"/>
      <c r="I44" s="7">
        <v>26</v>
      </c>
      <c r="J44" s="43">
        <v>24019.09</v>
      </c>
      <c r="K44" s="7">
        <f t="shared" si="0"/>
        <v>624496.34</v>
      </c>
      <c r="L44" s="29">
        <f t="shared" si="1"/>
        <v>93674.450999999986</v>
      </c>
      <c r="M44" s="30">
        <f t="shared" si="2"/>
        <v>718170.79099999997</v>
      </c>
      <c r="N44" s="31"/>
      <c r="O44" s="31"/>
      <c r="P44" s="44"/>
    </row>
    <row r="45" spans="1:16" ht="15.6" x14ac:dyDescent="0.3">
      <c r="A45" s="28">
        <v>46069</v>
      </c>
      <c r="B45" s="28"/>
      <c r="C45" s="28" t="s">
        <v>46</v>
      </c>
      <c r="D45" s="7">
        <v>8372</v>
      </c>
      <c r="E45" s="7" t="s">
        <v>57</v>
      </c>
      <c r="F45" s="7" t="s">
        <v>58</v>
      </c>
      <c r="G45" s="7" t="s">
        <v>45</v>
      </c>
      <c r="H45" s="43">
        <v>100</v>
      </c>
      <c r="I45" s="7">
        <v>39</v>
      </c>
      <c r="J45" s="43">
        <v>100</v>
      </c>
      <c r="K45" s="7">
        <f t="shared" si="0"/>
        <v>3900</v>
      </c>
      <c r="L45" s="29">
        <f t="shared" si="1"/>
        <v>585</v>
      </c>
      <c r="M45" s="30">
        <f t="shared" si="2"/>
        <v>4485</v>
      </c>
      <c r="N45" s="31"/>
      <c r="O45" s="31"/>
      <c r="P45" s="39"/>
    </row>
    <row r="46" spans="1:16" ht="15.6" x14ac:dyDescent="0.3">
      <c r="A46" s="28">
        <v>46071</v>
      </c>
      <c r="B46" s="28"/>
      <c r="C46" s="28" t="s">
        <v>46</v>
      </c>
      <c r="D46" s="7">
        <v>420</v>
      </c>
      <c r="E46" s="7" t="s">
        <v>73</v>
      </c>
      <c r="F46" s="7" t="s">
        <v>74</v>
      </c>
      <c r="G46" s="7" t="s">
        <v>45</v>
      </c>
      <c r="H46" s="43">
        <v>50</v>
      </c>
      <c r="I46" s="7">
        <v>155</v>
      </c>
      <c r="J46" s="43">
        <v>50</v>
      </c>
      <c r="K46" s="7">
        <f t="shared" si="0"/>
        <v>7750</v>
      </c>
      <c r="L46" s="29">
        <f t="shared" si="1"/>
        <v>1162.5</v>
      </c>
      <c r="M46" s="30">
        <f t="shared" si="2"/>
        <v>8912.5</v>
      </c>
      <c r="N46" s="31"/>
      <c r="O46" s="31"/>
      <c r="P46" s="39"/>
    </row>
    <row r="47" spans="1:16" ht="15.6" x14ac:dyDescent="0.3">
      <c r="A47" s="28">
        <v>46072</v>
      </c>
      <c r="B47" s="28"/>
      <c r="C47" s="28"/>
      <c r="D47" s="7">
        <v>1933</v>
      </c>
      <c r="E47" s="7" t="s">
        <v>77</v>
      </c>
      <c r="F47" s="7" t="s">
        <v>78</v>
      </c>
      <c r="G47" s="7" t="s">
        <v>45</v>
      </c>
      <c r="H47" s="43">
        <v>200</v>
      </c>
      <c r="I47" s="7">
        <v>355</v>
      </c>
      <c r="J47" s="43">
        <v>200</v>
      </c>
      <c r="K47" s="7">
        <f t="shared" si="0"/>
        <v>71000</v>
      </c>
      <c r="L47" s="29">
        <f t="shared" si="1"/>
        <v>10650</v>
      </c>
      <c r="M47" s="30">
        <f t="shared" si="2"/>
        <v>81650</v>
      </c>
      <c r="N47" s="31"/>
      <c r="O47" s="31"/>
      <c r="P47" s="39"/>
    </row>
    <row r="48" spans="1:16" ht="15.6" x14ac:dyDescent="0.3">
      <c r="A48" s="28">
        <v>46072</v>
      </c>
      <c r="B48" s="28"/>
      <c r="C48" s="28"/>
      <c r="D48" s="7">
        <v>1933</v>
      </c>
      <c r="E48" s="7" t="s">
        <v>77</v>
      </c>
      <c r="F48" s="7" t="s">
        <v>27</v>
      </c>
      <c r="G48" s="7" t="s">
        <v>45</v>
      </c>
      <c r="H48" s="7">
        <v>150</v>
      </c>
      <c r="I48" s="7">
        <v>358</v>
      </c>
      <c r="J48" s="7">
        <v>150</v>
      </c>
      <c r="K48" s="7">
        <f t="shared" si="0"/>
        <v>53700</v>
      </c>
      <c r="L48" s="29">
        <f t="shared" si="1"/>
        <v>8055</v>
      </c>
      <c r="M48" s="30">
        <f t="shared" si="2"/>
        <v>61755</v>
      </c>
      <c r="N48" s="31"/>
      <c r="O48" s="31"/>
      <c r="P48" s="39"/>
    </row>
    <row r="49" spans="1:17" ht="15.6" x14ac:dyDescent="0.3">
      <c r="A49" s="28">
        <v>46076</v>
      </c>
      <c r="B49" s="28"/>
      <c r="C49" s="28"/>
      <c r="D49" s="7">
        <v>31893</v>
      </c>
      <c r="E49" s="7" t="s">
        <v>79</v>
      </c>
      <c r="F49" s="7" t="s">
        <v>80</v>
      </c>
      <c r="G49" s="7" t="s">
        <v>45</v>
      </c>
      <c r="H49" s="7">
        <v>1000</v>
      </c>
      <c r="I49" s="7">
        <v>317</v>
      </c>
      <c r="J49" s="7">
        <v>1000</v>
      </c>
      <c r="K49" s="7">
        <f t="shared" si="0"/>
        <v>317000</v>
      </c>
      <c r="L49" s="29">
        <f t="shared" si="1"/>
        <v>47550</v>
      </c>
      <c r="M49" s="30">
        <f t="shared" si="2"/>
        <v>364550</v>
      </c>
      <c r="N49" s="31"/>
      <c r="O49" s="31"/>
      <c r="P49" s="39"/>
    </row>
    <row r="50" spans="1:17" ht="15.6" x14ac:dyDescent="0.3">
      <c r="A50" s="28">
        <v>46076</v>
      </c>
      <c r="B50" s="28"/>
      <c r="C50" s="28"/>
      <c r="D50" s="7">
        <v>31893</v>
      </c>
      <c r="E50" s="7" t="s">
        <v>79</v>
      </c>
      <c r="F50" s="7" t="s">
        <v>81</v>
      </c>
      <c r="G50" s="7" t="s">
        <v>45</v>
      </c>
      <c r="H50" s="7">
        <v>1300</v>
      </c>
      <c r="I50" s="7">
        <v>290</v>
      </c>
      <c r="J50" s="7">
        <v>1300</v>
      </c>
      <c r="K50" s="7">
        <f t="shared" si="0"/>
        <v>377000</v>
      </c>
      <c r="L50" s="29">
        <f t="shared" si="1"/>
        <v>56550</v>
      </c>
      <c r="M50" s="30">
        <f t="shared" si="2"/>
        <v>433550</v>
      </c>
      <c r="N50" s="31"/>
      <c r="O50" s="31"/>
      <c r="P50" s="39"/>
    </row>
    <row r="51" spans="1:17" ht="15.6" x14ac:dyDescent="0.3">
      <c r="A51" s="28">
        <v>46076</v>
      </c>
      <c r="B51" s="28"/>
      <c r="C51" s="28"/>
      <c r="D51" s="7">
        <v>451</v>
      </c>
      <c r="E51" s="7" t="s">
        <v>73</v>
      </c>
      <c r="F51" s="7" t="s">
        <v>74</v>
      </c>
      <c r="G51" s="7" t="s">
        <v>45</v>
      </c>
      <c r="H51" s="7">
        <v>100</v>
      </c>
      <c r="I51" s="7">
        <v>155</v>
      </c>
      <c r="J51" s="7">
        <v>100</v>
      </c>
      <c r="K51" s="7">
        <f t="shared" si="0"/>
        <v>15500</v>
      </c>
      <c r="L51" s="29">
        <f t="shared" si="1"/>
        <v>2325</v>
      </c>
      <c r="M51" s="30">
        <f t="shared" si="2"/>
        <v>17825</v>
      </c>
      <c r="N51" s="31"/>
      <c r="O51" s="31"/>
      <c r="P51" s="39"/>
    </row>
    <row r="52" spans="1:17" ht="15.6" x14ac:dyDescent="0.3">
      <c r="A52" s="28">
        <v>46076</v>
      </c>
      <c r="B52" s="28"/>
      <c r="C52" s="28"/>
      <c r="D52" s="7">
        <v>33</v>
      </c>
      <c r="E52" s="7" t="s">
        <v>82</v>
      </c>
      <c r="F52" s="7" t="s">
        <v>83</v>
      </c>
      <c r="G52" s="7" t="s">
        <v>45</v>
      </c>
      <c r="H52" s="7">
        <v>32</v>
      </c>
      <c r="I52" s="7">
        <v>774</v>
      </c>
      <c r="J52" s="7">
        <v>32</v>
      </c>
      <c r="K52" s="7">
        <f t="shared" si="0"/>
        <v>24768</v>
      </c>
      <c r="L52" s="29">
        <f t="shared" si="1"/>
        <v>3715.2</v>
      </c>
      <c r="M52" s="30">
        <f t="shared" si="2"/>
        <v>28483.200000000001</v>
      </c>
      <c r="N52" s="31"/>
      <c r="O52" s="31"/>
      <c r="P52" s="39"/>
    </row>
    <row r="53" spans="1:17" ht="15.6" x14ac:dyDescent="0.3">
      <c r="A53" s="33">
        <v>46072</v>
      </c>
      <c r="B53" s="33" t="s">
        <v>51</v>
      </c>
      <c r="C53" s="33"/>
      <c r="D53" s="34">
        <v>565</v>
      </c>
      <c r="E53" s="34" t="s">
        <v>84</v>
      </c>
      <c r="F53" s="34" t="s">
        <v>85</v>
      </c>
      <c r="G53" s="34" t="s">
        <v>45</v>
      </c>
      <c r="H53" s="34">
        <v>20</v>
      </c>
      <c r="I53" s="34">
        <v>612</v>
      </c>
      <c r="J53" s="34">
        <v>20</v>
      </c>
      <c r="K53" s="34">
        <f t="shared" si="0"/>
        <v>12240</v>
      </c>
      <c r="L53" s="36">
        <f t="shared" si="1"/>
        <v>1836</v>
      </c>
      <c r="M53" s="37">
        <f t="shared" si="2"/>
        <v>14076</v>
      </c>
      <c r="N53" s="31"/>
      <c r="O53" s="45"/>
      <c r="P53" s="46"/>
      <c r="Q53" s="47"/>
    </row>
    <row r="54" spans="1:17" ht="15.6" x14ac:dyDescent="0.3">
      <c r="A54" s="33">
        <v>46072</v>
      </c>
      <c r="B54" s="33" t="s">
        <v>51</v>
      </c>
      <c r="C54" s="33"/>
      <c r="D54" s="34">
        <v>566</v>
      </c>
      <c r="E54" s="34" t="s">
        <v>84</v>
      </c>
      <c r="F54" s="34" t="s">
        <v>85</v>
      </c>
      <c r="G54" s="34" t="s">
        <v>45</v>
      </c>
      <c r="H54" s="34">
        <v>10</v>
      </c>
      <c r="I54" s="34">
        <v>612</v>
      </c>
      <c r="J54" s="34">
        <v>10</v>
      </c>
      <c r="K54" s="34">
        <f t="shared" si="0"/>
        <v>6120</v>
      </c>
      <c r="L54" s="36">
        <f t="shared" si="1"/>
        <v>918</v>
      </c>
      <c r="M54" s="37">
        <f t="shared" si="2"/>
        <v>7038</v>
      </c>
      <c r="N54" s="31"/>
      <c r="O54" s="45"/>
      <c r="P54" s="46"/>
      <c r="Q54" s="47"/>
    </row>
    <row r="55" spans="1:17" ht="15.6" x14ac:dyDescent="0.3">
      <c r="A55" s="28">
        <v>46077</v>
      </c>
      <c r="B55" s="28"/>
      <c r="C55" s="28" t="s">
        <v>46</v>
      </c>
      <c r="D55" s="7">
        <v>8390</v>
      </c>
      <c r="E55" s="7" t="s">
        <v>57</v>
      </c>
      <c r="F55" s="7" t="s">
        <v>58</v>
      </c>
      <c r="G55" s="7" t="s">
        <v>45</v>
      </c>
      <c r="H55" s="7">
        <v>100</v>
      </c>
      <c r="I55" s="7">
        <v>39</v>
      </c>
      <c r="J55" s="7">
        <v>100</v>
      </c>
      <c r="K55" s="7">
        <f t="shared" si="0"/>
        <v>3900</v>
      </c>
      <c r="L55" s="29">
        <f t="shared" si="1"/>
        <v>585</v>
      </c>
      <c r="M55" s="30">
        <f t="shared" si="2"/>
        <v>4485</v>
      </c>
      <c r="N55" s="31"/>
      <c r="O55" s="31"/>
      <c r="P55" s="39"/>
    </row>
    <row r="56" spans="1:17" ht="15.6" x14ac:dyDescent="0.3">
      <c r="A56" s="28">
        <v>46077</v>
      </c>
      <c r="B56" s="28"/>
      <c r="C56" s="28" t="s">
        <v>46</v>
      </c>
      <c r="D56" s="7">
        <v>8392</v>
      </c>
      <c r="E56" s="7" t="s">
        <v>57</v>
      </c>
      <c r="F56" s="7" t="s">
        <v>58</v>
      </c>
      <c r="G56" s="7" t="s">
        <v>45</v>
      </c>
      <c r="H56" s="7">
        <v>50</v>
      </c>
      <c r="I56" s="7">
        <v>39</v>
      </c>
      <c r="J56" s="7">
        <v>50</v>
      </c>
      <c r="K56" s="7">
        <f t="shared" si="0"/>
        <v>1950</v>
      </c>
      <c r="L56" s="29">
        <f t="shared" si="1"/>
        <v>292.5</v>
      </c>
      <c r="M56" s="30">
        <f t="shared" si="2"/>
        <v>2242.5</v>
      </c>
      <c r="N56" s="31"/>
      <c r="O56" s="31"/>
      <c r="P56" s="39"/>
    </row>
    <row r="57" spans="1:17" ht="15.6" x14ac:dyDescent="0.3">
      <c r="A57" s="28">
        <v>46079</v>
      </c>
      <c r="B57" s="28"/>
      <c r="C57" s="28" t="s">
        <v>46</v>
      </c>
      <c r="D57" s="7">
        <v>8397</v>
      </c>
      <c r="E57" s="7" t="s">
        <v>57</v>
      </c>
      <c r="F57" s="7" t="s">
        <v>58</v>
      </c>
      <c r="G57" s="7" t="s">
        <v>45</v>
      </c>
      <c r="H57" s="7">
        <v>100</v>
      </c>
      <c r="I57" s="7">
        <v>39</v>
      </c>
      <c r="J57" s="7">
        <v>100</v>
      </c>
      <c r="K57" s="7">
        <f t="shared" si="0"/>
        <v>3900</v>
      </c>
      <c r="L57" s="29">
        <f t="shared" si="1"/>
        <v>585</v>
      </c>
      <c r="M57" s="30">
        <f t="shared" si="2"/>
        <v>4485</v>
      </c>
      <c r="N57" s="31"/>
      <c r="O57" s="31"/>
      <c r="P57" s="39"/>
    </row>
    <row r="58" spans="1:17" ht="15.6" x14ac:dyDescent="0.3">
      <c r="A58" s="28">
        <v>46079</v>
      </c>
      <c r="B58" s="28"/>
      <c r="C58" s="28"/>
      <c r="D58" s="7">
        <v>3023</v>
      </c>
      <c r="E58" s="7" t="s">
        <v>64</v>
      </c>
      <c r="F58" s="7" t="s">
        <v>86</v>
      </c>
      <c r="G58" s="7" t="s">
        <v>45</v>
      </c>
      <c r="H58" s="7">
        <v>29</v>
      </c>
      <c r="I58" s="7">
        <v>612</v>
      </c>
      <c r="J58" s="7">
        <v>29</v>
      </c>
      <c r="K58" s="7">
        <f t="shared" si="0"/>
        <v>17748</v>
      </c>
      <c r="L58" s="29">
        <f t="shared" si="1"/>
        <v>2662.2</v>
      </c>
      <c r="M58" s="30">
        <f t="shared" si="2"/>
        <v>20410.2</v>
      </c>
      <c r="N58" s="31"/>
      <c r="O58" s="31"/>
      <c r="P58" s="39"/>
    </row>
    <row r="59" spans="1:17" ht="15.6" x14ac:dyDescent="0.3">
      <c r="A59" s="28">
        <v>46079</v>
      </c>
      <c r="B59" s="28"/>
      <c r="C59" s="28"/>
      <c r="D59" s="7">
        <v>3023</v>
      </c>
      <c r="E59" s="7" t="s">
        <v>64</v>
      </c>
      <c r="F59" s="7" t="s">
        <v>87</v>
      </c>
      <c r="G59" s="7" t="s">
        <v>45</v>
      </c>
      <c r="H59" s="7">
        <v>150</v>
      </c>
      <c r="I59" s="7">
        <v>280</v>
      </c>
      <c r="J59" s="7">
        <v>150</v>
      </c>
      <c r="K59" s="7">
        <f t="shared" si="0"/>
        <v>42000</v>
      </c>
      <c r="L59" s="29">
        <f t="shared" si="1"/>
        <v>6300</v>
      </c>
      <c r="M59" s="30">
        <f t="shared" si="2"/>
        <v>48300</v>
      </c>
      <c r="N59" s="31"/>
      <c r="O59" s="31"/>
      <c r="P59" s="39"/>
    </row>
    <row r="60" spans="1:17" x14ac:dyDescent="0.3">
      <c r="A60" s="33">
        <v>46082</v>
      </c>
      <c r="B60" s="33" t="s">
        <v>51</v>
      </c>
      <c r="C60" s="33"/>
      <c r="D60" s="34">
        <v>14777</v>
      </c>
      <c r="E60" s="34" t="s">
        <v>47</v>
      </c>
      <c r="F60" s="34" t="s">
        <v>88</v>
      </c>
      <c r="G60" s="34" t="s">
        <v>45</v>
      </c>
      <c r="H60" s="34">
        <v>200</v>
      </c>
      <c r="I60" s="34">
        <v>25</v>
      </c>
      <c r="J60" s="34">
        <v>4352</v>
      </c>
      <c r="K60" s="34">
        <f t="shared" si="0"/>
        <v>108800</v>
      </c>
      <c r="L60" s="36">
        <f t="shared" si="1"/>
        <v>16320</v>
      </c>
      <c r="M60" s="37">
        <f t="shared" si="2"/>
        <v>125120</v>
      </c>
      <c r="N60" s="31"/>
      <c r="O60" s="45"/>
      <c r="P60" s="48"/>
      <c r="Q60" s="47"/>
    </row>
    <row r="61" spans="1:17" ht="15.6" x14ac:dyDescent="0.3">
      <c r="A61" s="28">
        <v>46081</v>
      </c>
      <c r="B61" s="28"/>
      <c r="C61" s="28"/>
      <c r="D61" s="7">
        <v>3074</v>
      </c>
      <c r="E61" s="7" t="s">
        <v>64</v>
      </c>
      <c r="F61" s="7" t="s">
        <v>87</v>
      </c>
      <c r="G61" s="7" t="s">
        <v>45</v>
      </c>
      <c r="H61" s="7">
        <v>5</v>
      </c>
      <c r="I61" s="7">
        <v>280</v>
      </c>
      <c r="J61" s="7">
        <v>5</v>
      </c>
      <c r="K61" s="7">
        <f t="shared" si="0"/>
        <v>1400</v>
      </c>
      <c r="L61" s="29">
        <f t="shared" si="1"/>
        <v>210</v>
      </c>
      <c r="M61" s="30">
        <f t="shared" si="2"/>
        <v>1610</v>
      </c>
      <c r="N61" s="31"/>
      <c r="O61" s="31"/>
      <c r="P61" s="39"/>
    </row>
    <row r="62" spans="1:17" ht="15.6" x14ac:dyDescent="0.3">
      <c r="A62" s="28">
        <v>46084</v>
      </c>
      <c r="B62" s="28"/>
      <c r="C62" s="28"/>
      <c r="D62" s="7">
        <v>3077</v>
      </c>
      <c r="E62" s="7" t="s">
        <v>64</v>
      </c>
      <c r="F62" s="7" t="s">
        <v>48</v>
      </c>
      <c r="G62" s="7" t="s">
        <v>45</v>
      </c>
      <c r="H62" s="7">
        <v>30</v>
      </c>
      <c r="I62" s="7">
        <v>621</v>
      </c>
      <c r="J62" s="7">
        <v>30</v>
      </c>
      <c r="K62" s="7">
        <f t="shared" si="0"/>
        <v>18630</v>
      </c>
      <c r="L62" s="29">
        <f t="shared" si="1"/>
        <v>2794.5</v>
      </c>
      <c r="M62" s="30">
        <f t="shared" si="2"/>
        <v>21424.5</v>
      </c>
      <c r="N62" s="31"/>
      <c r="O62" s="31"/>
      <c r="P62" s="39"/>
    </row>
    <row r="63" spans="1:17" ht="15.6" x14ac:dyDescent="0.3">
      <c r="A63" s="28">
        <v>46085</v>
      </c>
      <c r="B63" s="28"/>
      <c r="C63" s="28"/>
      <c r="D63" s="7">
        <v>3096</v>
      </c>
      <c r="E63" s="7" t="s">
        <v>64</v>
      </c>
      <c r="F63" s="7" t="s">
        <v>89</v>
      </c>
      <c r="G63" s="7" t="s">
        <v>76</v>
      </c>
      <c r="H63" s="7">
        <v>1100</v>
      </c>
      <c r="I63" s="7">
        <v>17.5</v>
      </c>
      <c r="J63" s="7">
        <v>18008.48</v>
      </c>
      <c r="K63" s="7">
        <f t="shared" si="0"/>
        <v>315148.39999999997</v>
      </c>
      <c r="L63" s="29">
        <f t="shared" si="1"/>
        <v>47272.259999999995</v>
      </c>
      <c r="M63" s="31">
        <f t="shared" si="2"/>
        <v>362420.66</v>
      </c>
      <c r="N63" s="31"/>
      <c r="O63" s="31"/>
      <c r="P63" s="39"/>
    </row>
    <row r="64" spans="1:17" ht="15.6" x14ac:dyDescent="0.3">
      <c r="A64" s="49">
        <v>46088</v>
      </c>
      <c r="B64" s="49" t="s">
        <v>15</v>
      </c>
      <c r="C64" s="49"/>
      <c r="D64" s="50"/>
      <c r="E64" s="50" t="s">
        <v>49</v>
      </c>
      <c r="F64" s="50" t="s">
        <v>90</v>
      </c>
      <c r="G64" s="51" t="s">
        <v>76</v>
      </c>
      <c r="H64" s="50">
        <v>-232</v>
      </c>
      <c r="I64" s="50">
        <v>19.5</v>
      </c>
      <c r="J64" s="50">
        <v>-5143.79</v>
      </c>
      <c r="K64" s="50">
        <f t="shared" si="0"/>
        <v>-100303.905</v>
      </c>
      <c r="L64" s="52">
        <f t="shared" si="1"/>
        <v>-15045.585749999998</v>
      </c>
      <c r="M64" s="53">
        <f t="shared" si="2"/>
        <v>-115349.49075</v>
      </c>
      <c r="N64" s="53"/>
      <c r="O64" s="53"/>
      <c r="P64" s="39"/>
    </row>
    <row r="65" spans="1:16" ht="15.6" x14ac:dyDescent="0.3">
      <c r="A65" s="28">
        <v>46090</v>
      </c>
      <c r="B65" s="28"/>
      <c r="C65" s="28"/>
      <c r="D65" s="7">
        <v>59</v>
      </c>
      <c r="E65" s="7" t="s">
        <v>17</v>
      </c>
      <c r="F65" s="7" t="s">
        <v>21</v>
      </c>
      <c r="G65" s="7" t="s">
        <v>45</v>
      </c>
      <c r="H65" s="7">
        <v>751</v>
      </c>
      <c r="I65" s="7">
        <v>304</v>
      </c>
      <c r="J65" s="7">
        <v>751</v>
      </c>
      <c r="K65" s="7">
        <f t="shared" si="0"/>
        <v>228304</v>
      </c>
      <c r="L65" s="29">
        <f t="shared" si="1"/>
        <v>34245.599999999999</v>
      </c>
      <c r="M65" s="31">
        <f t="shared" si="2"/>
        <v>262549.59999999998</v>
      </c>
      <c r="N65" s="31"/>
      <c r="O65" s="31"/>
      <c r="P65" s="39"/>
    </row>
    <row r="66" spans="1:16" ht="15.6" x14ac:dyDescent="0.3">
      <c r="A66" s="28">
        <v>46090</v>
      </c>
      <c r="B66" s="28"/>
      <c r="C66" s="28"/>
      <c r="D66" s="7">
        <v>59</v>
      </c>
      <c r="E66" s="7" t="s">
        <v>17</v>
      </c>
      <c r="F66" s="7" t="s">
        <v>18</v>
      </c>
      <c r="G66" s="7" t="s">
        <v>45</v>
      </c>
      <c r="H66" s="7">
        <v>569</v>
      </c>
      <c r="I66" s="7">
        <v>345</v>
      </c>
      <c r="J66" s="7">
        <v>569</v>
      </c>
      <c r="K66" s="7">
        <f t="shared" si="0"/>
        <v>196305</v>
      </c>
      <c r="L66" s="29">
        <f t="shared" si="1"/>
        <v>29445.75</v>
      </c>
      <c r="M66" s="31">
        <f t="shared" si="2"/>
        <v>225750.75</v>
      </c>
      <c r="N66" s="31"/>
      <c r="O66" s="31"/>
      <c r="P66" s="39"/>
    </row>
    <row r="67" spans="1:16" ht="15.6" x14ac:dyDescent="0.3">
      <c r="A67" s="28">
        <v>46090</v>
      </c>
      <c r="B67" s="28"/>
      <c r="C67" s="28"/>
      <c r="D67" s="7">
        <v>59</v>
      </c>
      <c r="E67" s="7" t="s">
        <v>17</v>
      </c>
      <c r="F67" s="7" t="s">
        <v>68</v>
      </c>
      <c r="G67" s="7" t="s">
        <v>45</v>
      </c>
      <c r="H67" s="7">
        <v>30</v>
      </c>
      <c r="I67" s="7">
        <v>680</v>
      </c>
      <c r="J67" s="7">
        <v>30</v>
      </c>
      <c r="K67" s="7">
        <f t="shared" ref="K67:K127" si="3">I67*J67</f>
        <v>20400</v>
      </c>
      <c r="L67" s="29">
        <f t="shared" ref="L67:L127" si="4">K67*15%</f>
        <v>3060</v>
      </c>
      <c r="M67" s="31">
        <f t="shared" ref="M67:M127" si="5">K67+L67</f>
        <v>23460</v>
      </c>
      <c r="N67" s="31"/>
      <c r="O67" s="31"/>
      <c r="P67" s="39"/>
    </row>
    <row r="68" spans="1:16" x14ac:dyDescent="0.3">
      <c r="A68" s="28">
        <v>46092</v>
      </c>
      <c r="B68" s="28"/>
      <c r="C68" s="28"/>
      <c r="D68" s="7">
        <v>37</v>
      </c>
      <c r="E68" s="7" t="s">
        <v>82</v>
      </c>
      <c r="F68" s="7" t="s">
        <v>91</v>
      </c>
      <c r="G68" s="7" t="s">
        <v>45</v>
      </c>
      <c r="H68" s="7">
        <v>30</v>
      </c>
      <c r="I68" s="7">
        <v>846</v>
      </c>
      <c r="J68" s="7">
        <v>30</v>
      </c>
      <c r="K68" s="7">
        <f t="shared" si="3"/>
        <v>25380</v>
      </c>
      <c r="L68" s="29">
        <f t="shared" si="4"/>
        <v>3807</v>
      </c>
      <c r="M68" s="31">
        <f t="shared" si="5"/>
        <v>29187</v>
      </c>
      <c r="N68" s="31"/>
      <c r="O68" s="31"/>
      <c r="P68" s="44"/>
    </row>
    <row r="69" spans="1:16" ht="15.6" x14ac:dyDescent="0.3">
      <c r="A69" s="28">
        <v>46095</v>
      </c>
      <c r="B69" s="28"/>
      <c r="C69" s="28"/>
      <c r="D69" s="7"/>
      <c r="E69" s="9" t="s">
        <v>92</v>
      </c>
      <c r="F69" s="9" t="s">
        <v>23</v>
      </c>
      <c r="G69" s="9" t="s">
        <v>76</v>
      </c>
      <c r="H69" s="9">
        <v>22</v>
      </c>
      <c r="I69" s="9">
        <f>51/1.15</f>
        <v>44.347826086956523</v>
      </c>
      <c r="J69" s="9">
        <v>356.48</v>
      </c>
      <c r="K69" s="9">
        <f t="shared" si="3"/>
        <v>15809.113043478263</v>
      </c>
      <c r="L69" s="54">
        <f t="shared" si="4"/>
        <v>2371.3669565217392</v>
      </c>
      <c r="M69" s="55">
        <f t="shared" si="5"/>
        <v>18180.480000000003</v>
      </c>
      <c r="N69" s="31"/>
      <c r="O69" s="31"/>
      <c r="P69" s="39"/>
    </row>
    <row r="70" spans="1:16" ht="15.6" x14ac:dyDescent="0.3">
      <c r="A70" s="28">
        <v>46095</v>
      </c>
      <c r="B70" s="28"/>
      <c r="C70" s="28"/>
      <c r="D70" s="7"/>
      <c r="E70" s="9" t="s">
        <v>92</v>
      </c>
      <c r="F70" s="10" t="s">
        <v>25</v>
      </c>
      <c r="G70" s="9" t="s">
        <v>76</v>
      </c>
      <c r="H70" s="9">
        <v>16</v>
      </c>
      <c r="I70" s="9">
        <f>51/1.15</f>
        <v>44.347826086956523</v>
      </c>
      <c r="J70" s="9">
        <v>177.33</v>
      </c>
      <c r="K70" s="9">
        <f t="shared" si="3"/>
        <v>7864.2000000000007</v>
      </c>
      <c r="L70" s="54">
        <f t="shared" si="4"/>
        <v>1179.6300000000001</v>
      </c>
      <c r="M70" s="55">
        <f t="shared" si="5"/>
        <v>9043.8300000000017</v>
      </c>
      <c r="N70" s="31"/>
      <c r="O70" s="31"/>
      <c r="P70" s="39"/>
    </row>
    <row r="71" spans="1:16" ht="15.6" x14ac:dyDescent="0.3">
      <c r="A71" s="28">
        <v>46096</v>
      </c>
      <c r="B71" s="28"/>
      <c r="C71" s="28"/>
      <c r="D71" s="7">
        <v>3214</v>
      </c>
      <c r="E71" s="7" t="s">
        <v>64</v>
      </c>
      <c r="F71" s="7" t="s">
        <v>93</v>
      </c>
      <c r="G71" s="7" t="s">
        <v>76</v>
      </c>
      <c r="H71" s="7">
        <v>748</v>
      </c>
      <c r="I71" s="7">
        <v>24.5</v>
      </c>
      <c r="J71" s="7">
        <v>13842.4</v>
      </c>
      <c r="K71" s="7">
        <f t="shared" si="3"/>
        <v>339138.8</v>
      </c>
      <c r="L71" s="29">
        <f t="shared" si="4"/>
        <v>50870.82</v>
      </c>
      <c r="M71" s="30">
        <f t="shared" si="5"/>
        <v>390009.62</v>
      </c>
      <c r="N71" s="30"/>
      <c r="O71" s="30"/>
      <c r="P71" s="56"/>
    </row>
    <row r="72" spans="1:16" ht="15.6" x14ac:dyDescent="0.3">
      <c r="A72" s="28">
        <v>46096</v>
      </c>
      <c r="B72" s="28"/>
      <c r="C72" s="28"/>
      <c r="D72" s="7">
        <v>3214</v>
      </c>
      <c r="E72" s="7" t="s">
        <v>64</v>
      </c>
      <c r="F72" s="7" t="s">
        <v>26</v>
      </c>
      <c r="G72" s="7" t="s">
        <v>76</v>
      </c>
      <c r="H72" s="7">
        <v>524</v>
      </c>
      <c r="I72" s="7">
        <v>26.8</v>
      </c>
      <c r="J72" s="7">
        <v>10170.34</v>
      </c>
      <c r="K72" s="7">
        <f t="shared" si="3"/>
        <v>272565.11200000002</v>
      </c>
      <c r="L72" s="29">
        <f t="shared" si="4"/>
        <v>40884.766800000005</v>
      </c>
      <c r="M72" s="30">
        <f t="shared" si="5"/>
        <v>313449.87880000001</v>
      </c>
      <c r="N72" s="30"/>
      <c r="O72" s="30"/>
      <c r="P72" s="56"/>
    </row>
    <row r="73" spans="1:16" ht="15.6" x14ac:dyDescent="0.3">
      <c r="A73" s="28">
        <v>46097</v>
      </c>
      <c r="B73" s="28"/>
      <c r="C73" s="28"/>
      <c r="D73" s="7">
        <v>65</v>
      </c>
      <c r="E73" s="7" t="s">
        <v>17</v>
      </c>
      <c r="F73" s="7" t="s">
        <v>94</v>
      </c>
      <c r="G73" s="7" t="s">
        <v>45</v>
      </c>
      <c r="H73" s="7">
        <v>882</v>
      </c>
      <c r="I73" s="7">
        <v>395</v>
      </c>
      <c r="J73" s="7">
        <v>882</v>
      </c>
      <c r="K73" s="7">
        <f t="shared" si="3"/>
        <v>348390</v>
      </c>
      <c r="L73" s="29">
        <f t="shared" si="4"/>
        <v>52258.5</v>
      </c>
      <c r="M73" s="31">
        <f t="shared" si="5"/>
        <v>400648.5</v>
      </c>
      <c r="N73" s="31"/>
      <c r="O73" s="31"/>
      <c r="P73" s="39"/>
    </row>
    <row r="74" spans="1:16" ht="15.6" x14ac:dyDescent="0.3">
      <c r="A74" s="28">
        <v>46097</v>
      </c>
      <c r="B74" s="28"/>
      <c r="C74" s="28"/>
      <c r="D74" s="7">
        <v>65</v>
      </c>
      <c r="E74" s="7" t="s">
        <v>17</v>
      </c>
      <c r="F74" s="7" t="s">
        <v>48</v>
      </c>
      <c r="G74" s="7" t="s">
        <v>45</v>
      </c>
      <c r="H74" s="7">
        <v>350</v>
      </c>
      <c r="I74" s="7">
        <v>625</v>
      </c>
      <c r="J74" s="7">
        <v>350</v>
      </c>
      <c r="K74" s="7">
        <f t="shared" si="3"/>
        <v>218750</v>
      </c>
      <c r="L74" s="29">
        <f t="shared" si="4"/>
        <v>32812.5</v>
      </c>
      <c r="M74" s="31">
        <f t="shared" si="5"/>
        <v>251562.5</v>
      </c>
      <c r="N74" s="31"/>
      <c r="O74" s="31"/>
      <c r="P74" s="39"/>
    </row>
    <row r="75" spans="1:16" ht="15.6" x14ac:dyDescent="0.3">
      <c r="A75" s="28">
        <v>46098</v>
      </c>
      <c r="B75" s="28"/>
      <c r="C75" s="28"/>
      <c r="D75" s="7">
        <v>68</v>
      </c>
      <c r="E75" s="7" t="s">
        <v>17</v>
      </c>
      <c r="F75" s="7" t="s">
        <v>16</v>
      </c>
      <c r="G75" s="7" t="s">
        <v>45</v>
      </c>
      <c r="H75" s="7">
        <v>2000</v>
      </c>
      <c r="I75" s="7">
        <v>203</v>
      </c>
      <c r="J75" s="7">
        <v>2000</v>
      </c>
      <c r="K75" s="7">
        <f t="shared" si="3"/>
        <v>406000</v>
      </c>
      <c r="L75" s="29">
        <f t="shared" si="4"/>
        <v>60900</v>
      </c>
      <c r="M75" s="31">
        <f t="shared" si="5"/>
        <v>466900</v>
      </c>
      <c r="N75" s="31"/>
      <c r="O75" s="31"/>
      <c r="P75" s="39"/>
    </row>
    <row r="76" spans="1:16" ht="15.6" x14ac:dyDescent="0.3">
      <c r="A76" s="28">
        <v>46106</v>
      </c>
      <c r="B76" s="28"/>
      <c r="C76" s="28"/>
      <c r="D76" s="7">
        <v>1019</v>
      </c>
      <c r="E76" s="7" t="s">
        <v>49</v>
      </c>
      <c r="F76" s="7" t="s">
        <v>124</v>
      </c>
      <c r="G76" s="7" t="s">
        <v>45</v>
      </c>
      <c r="H76" s="7">
        <v>1330</v>
      </c>
      <c r="I76" s="7">
        <v>318</v>
      </c>
      <c r="J76" s="7">
        <v>1330</v>
      </c>
      <c r="K76" s="7">
        <f t="shared" si="3"/>
        <v>422940</v>
      </c>
      <c r="L76" s="29">
        <f t="shared" si="4"/>
        <v>63441</v>
      </c>
      <c r="M76" s="31">
        <f t="shared" si="5"/>
        <v>486381</v>
      </c>
      <c r="N76" s="31"/>
      <c r="O76" s="31"/>
      <c r="P76" s="39"/>
    </row>
    <row r="77" spans="1:16" ht="15.6" x14ac:dyDescent="0.3">
      <c r="A77" s="28">
        <v>46106</v>
      </c>
      <c r="B77" s="28"/>
      <c r="C77" s="28"/>
      <c r="D77" s="7">
        <v>32267</v>
      </c>
      <c r="E77" s="7" t="s">
        <v>95</v>
      </c>
      <c r="F77" s="7" t="s">
        <v>30</v>
      </c>
      <c r="G77" s="7" t="s">
        <v>45</v>
      </c>
      <c r="H77" s="7">
        <v>1350</v>
      </c>
      <c r="I77" s="7">
        <v>318</v>
      </c>
      <c r="J77" s="7">
        <v>1350</v>
      </c>
      <c r="K77" s="7">
        <f t="shared" si="3"/>
        <v>429300</v>
      </c>
      <c r="L77" s="29">
        <f t="shared" si="4"/>
        <v>64395</v>
      </c>
      <c r="M77" s="31">
        <f t="shared" si="5"/>
        <v>493695</v>
      </c>
      <c r="N77" s="31"/>
      <c r="O77" s="31"/>
      <c r="P77" s="39"/>
    </row>
    <row r="78" spans="1:16" ht="15.6" x14ac:dyDescent="0.3">
      <c r="A78" s="28">
        <v>46107</v>
      </c>
      <c r="B78" s="28"/>
      <c r="C78" s="28"/>
      <c r="D78" s="7">
        <v>32283</v>
      </c>
      <c r="E78" s="7" t="s">
        <v>95</v>
      </c>
      <c r="F78" s="7" t="s">
        <v>96</v>
      </c>
      <c r="G78" s="7" t="s">
        <v>45</v>
      </c>
      <c r="H78" s="7">
        <v>200</v>
      </c>
      <c r="I78" s="7">
        <v>208</v>
      </c>
      <c r="J78" s="7">
        <v>200</v>
      </c>
      <c r="K78" s="7">
        <f t="shared" si="3"/>
        <v>41600</v>
      </c>
      <c r="L78" s="29">
        <f t="shared" si="4"/>
        <v>6240</v>
      </c>
      <c r="M78" s="31">
        <f t="shared" si="5"/>
        <v>47840</v>
      </c>
      <c r="N78" s="31"/>
      <c r="O78" s="31"/>
      <c r="P78" s="39"/>
    </row>
    <row r="79" spans="1:16" ht="15.6" x14ac:dyDescent="0.3">
      <c r="A79" s="28">
        <v>46111</v>
      </c>
      <c r="B79" s="28"/>
      <c r="C79" s="28"/>
      <c r="D79" s="7">
        <v>8457</v>
      </c>
      <c r="E79" s="7" t="s">
        <v>57</v>
      </c>
      <c r="F79" s="7" t="s">
        <v>21</v>
      </c>
      <c r="G79" s="7" t="s">
        <v>45</v>
      </c>
      <c r="H79" s="7">
        <v>901</v>
      </c>
      <c r="I79" s="7">
        <v>410</v>
      </c>
      <c r="J79" s="7">
        <v>901</v>
      </c>
      <c r="K79" s="7">
        <f t="shared" si="3"/>
        <v>369410</v>
      </c>
      <c r="L79" s="29">
        <f t="shared" si="4"/>
        <v>55411.5</v>
      </c>
      <c r="M79" s="31">
        <f t="shared" si="5"/>
        <v>424821.5</v>
      </c>
      <c r="N79" s="31"/>
      <c r="O79" s="31"/>
      <c r="P79" s="39"/>
    </row>
    <row r="80" spans="1:16" ht="15.6" x14ac:dyDescent="0.3">
      <c r="A80" s="28">
        <v>46111</v>
      </c>
      <c r="B80" s="28"/>
      <c r="C80" s="28"/>
      <c r="D80" s="7">
        <v>8457</v>
      </c>
      <c r="E80" s="7" t="s">
        <v>57</v>
      </c>
      <c r="F80" s="7" t="s">
        <v>18</v>
      </c>
      <c r="G80" s="7" t="s">
        <v>45</v>
      </c>
      <c r="H80" s="7">
        <v>569</v>
      </c>
      <c r="I80" s="7">
        <v>417</v>
      </c>
      <c r="J80" s="7">
        <v>569</v>
      </c>
      <c r="K80" s="7">
        <f t="shared" si="3"/>
        <v>237273</v>
      </c>
      <c r="L80" s="29">
        <f t="shared" si="4"/>
        <v>35590.949999999997</v>
      </c>
      <c r="M80" s="31">
        <f t="shared" si="5"/>
        <v>272863.95</v>
      </c>
      <c r="N80" s="31"/>
      <c r="O80" s="31"/>
      <c r="P80" s="39"/>
    </row>
    <row r="81" spans="1:16" ht="15.6" x14ac:dyDescent="0.3">
      <c r="A81" s="28">
        <v>46111</v>
      </c>
      <c r="B81" s="28"/>
      <c r="C81" s="28"/>
      <c r="D81" s="7">
        <v>8457</v>
      </c>
      <c r="E81" s="7" t="s">
        <v>57</v>
      </c>
      <c r="F81" s="7" t="s">
        <v>68</v>
      </c>
      <c r="G81" s="7" t="s">
        <v>45</v>
      </c>
      <c r="H81" s="7">
        <v>30</v>
      </c>
      <c r="I81" s="7">
        <v>864</v>
      </c>
      <c r="J81" s="7">
        <v>30</v>
      </c>
      <c r="K81" s="7">
        <f t="shared" si="3"/>
        <v>25920</v>
      </c>
      <c r="L81" s="29">
        <f t="shared" si="4"/>
        <v>3888</v>
      </c>
      <c r="M81" s="31">
        <f t="shared" si="5"/>
        <v>29808</v>
      </c>
      <c r="N81" s="31"/>
      <c r="O81" s="31"/>
      <c r="P81" s="39"/>
    </row>
    <row r="82" spans="1:16" ht="15.6" x14ac:dyDescent="0.3">
      <c r="A82" s="28">
        <v>46112</v>
      </c>
      <c r="B82" s="28"/>
      <c r="C82" s="28"/>
      <c r="D82" s="7">
        <v>8415</v>
      </c>
      <c r="E82" s="7" t="s">
        <v>64</v>
      </c>
      <c r="F82" s="7" t="s">
        <v>97</v>
      </c>
      <c r="G82" s="7" t="s">
        <v>45</v>
      </c>
      <c r="H82" s="7">
        <v>223</v>
      </c>
      <c r="I82" s="7">
        <v>325</v>
      </c>
      <c r="J82" s="7">
        <v>223</v>
      </c>
      <c r="K82" s="7">
        <f t="shared" si="3"/>
        <v>72475</v>
      </c>
      <c r="L82" s="29">
        <f t="shared" si="4"/>
        <v>10871.25</v>
      </c>
      <c r="M82" s="31">
        <f t="shared" si="5"/>
        <v>83346.25</v>
      </c>
      <c r="N82" s="31"/>
      <c r="O82" s="31"/>
      <c r="P82" s="39"/>
    </row>
    <row r="83" spans="1:16" ht="15.6" x14ac:dyDescent="0.3">
      <c r="A83" s="28">
        <v>46112</v>
      </c>
      <c r="B83" s="28"/>
      <c r="C83" s="28"/>
      <c r="D83" s="7">
        <v>8415</v>
      </c>
      <c r="E83" s="7" t="s">
        <v>64</v>
      </c>
      <c r="F83" s="7" t="s">
        <v>98</v>
      </c>
      <c r="G83" s="7" t="s">
        <v>45</v>
      </c>
      <c r="H83" s="7">
        <v>80</v>
      </c>
      <c r="I83" s="7">
        <v>405</v>
      </c>
      <c r="J83" s="7">
        <v>80</v>
      </c>
      <c r="K83" s="7">
        <f t="shared" si="3"/>
        <v>32400</v>
      </c>
      <c r="L83" s="29">
        <f t="shared" si="4"/>
        <v>4860</v>
      </c>
      <c r="M83" s="31">
        <f t="shared" si="5"/>
        <v>37260</v>
      </c>
      <c r="N83" s="31"/>
      <c r="O83" s="31"/>
      <c r="P83" s="39"/>
    </row>
    <row r="84" spans="1:16" ht="15.6" x14ac:dyDescent="0.3">
      <c r="A84" s="28">
        <v>46112</v>
      </c>
      <c r="B84" s="28"/>
      <c r="C84" s="28"/>
      <c r="D84" s="7">
        <v>8415</v>
      </c>
      <c r="E84" s="7" t="s">
        <v>64</v>
      </c>
      <c r="F84" s="7" t="s">
        <v>99</v>
      </c>
      <c r="G84" s="7" t="s">
        <v>45</v>
      </c>
      <c r="H84" s="7">
        <v>60</v>
      </c>
      <c r="I84" s="7">
        <v>405</v>
      </c>
      <c r="J84" s="7">
        <v>60</v>
      </c>
      <c r="K84" s="7">
        <f t="shared" si="3"/>
        <v>24300</v>
      </c>
      <c r="L84" s="29">
        <f t="shared" si="4"/>
        <v>3645</v>
      </c>
      <c r="M84" s="31">
        <f t="shared" si="5"/>
        <v>27945</v>
      </c>
      <c r="N84" s="31"/>
      <c r="O84" s="31"/>
      <c r="P84" s="39"/>
    </row>
    <row r="85" spans="1:16" x14ac:dyDescent="0.3">
      <c r="A85" s="28">
        <v>46114</v>
      </c>
      <c r="B85" s="28"/>
      <c r="C85" s="28"/>
      <c r="D85" s="7">
        <v>32397</v>
      </c>
      <c r="E85" s="7" t="s">
        <v>95</v>
      </c>
      <c r="F85" s="7" t="s">
        <v>124</v>
      </c>
      <c r="G85" s="7" t="s">
        <v>45</v>
      </c>
      <c r="H85" s="7">
        <v>1350</v>
      </c>
      <c r="I85" s="7">
        <v>338</v>
      </c>
      <c r="J85" s="7">
        <v>1350</v>
      </c>
      <c r="K85" s="7">
        <f t="shared" si="3"/>
        <v>456300</v>
      </c>
      <c r="L85" s="29">
        <f t="shared" si="4"/>
        <v>68445</v>
      </c>
      <c r="M85" s="31">
        <f t="shared" si="5"/>
        <v>524745</v>
      </c>
      <c r="N85" s="31"/>
      <c r="O85" s="31"/>
      <c r="P85" s="44"/>
    </row>
    <row r="86" spans="1:16" ht="15.6" x14ac:dyDescent="0.3">
      <c r="A86" s="28">
        <v>46118</v>
      </c>
      <c r="B86" s="28"/>
      <c r="C86" s="28"/>
      <c r="D86" s="7">
        <v>948</v>
      </c>
      <c r="E86" s="7" t="s">
        <v>135</v>
      </c>
      <c r="F86" s="7" t="s">
        <v>136</v>
      </c>
      <c r="G86" s="7" t="s">
        <v>76</v>
      </c>
      <c r="H86" s="7"/>
      <c r="I86" s="7">
        <v>27.25</v>
      </c>
      <c r="J86" s="7">
        <v>10000</v>
      </c>
      <c r="K86" s="7">
        <f t="shared" si="3"/>
        <v>272500</v>
      </c>
      <c r="L86" s="29">
        <f t="shared" si="4"/>
        <v>40875</v>
      </c>
      <c r="M86" s="31">
        <f t="shared" si="5"/>
        <v>313375</v>
      </c>
      <c r="N86" s="31"/>
      <c r="O86" s="31"/>
      <c r="P86" s="39"/>
    </row>
    <row r="87" spans="1:16" ht="15.6" x14ac:dyDescent="0.3">
      <c r="A87" s="28">
        <v>46118</v>
      </c>
      <c r="B87" s="28"/>
      <c r="C87" s="28"/>
      <c r="D87" s="7">
        <v>8471</v>
      </c>
      <c r="E87" s="7" t="s">
        <v>57</v>
      </c>
      <c r="F87" s="7" t="s">
        <v>21</v>
      </c>
      <c r="G87" s="7" t="s">
        <v>45</v>
      </c>
      <c r="H87" s="7">
        <v>901</v>
      </c>
      <c r="I87" s="7">
        <v>445</v>
      </c>
      <c r="J87" s="7">
        <v>901</v>
      </c>
      <c r="K87" s="7">
        <f t="shared" si="3"/>
        <v>400945</v>
      </c>
      <c r="L87" s="29">
        <f t="shared" si="4"/>
        <v>60141.75</v>
      </c>
      <c r="M87" s="31">
        <f t="shared" si="5"/>
        <v>461086.75</v>
      </c>
      <c r="N87" s="31"/>
      <c r="O87" s="31"/>
      <c r="P87" s="39"/>
    </row>
    <row r="88" spans="1:16" ht="15.6" x14ac:dyDescent="0.3">
      <c r="A88" s="28">
        <v>46118</v>
      </c>
      <c r="B88" s="28"/>
      <c r="C88" s="28"/>
      <c r="D88" s="7">
        <v>8471</v>
      </c>
      <c r="E88" s="7" t="s">
        <v>57</v>
      </c>
      <c r="F88" s="7" t="s">
        <v>18</v>
      </c>
      <c r="G88" s="7" t="s">
        <v>45</v>
      </c>
      <c r="H88" s="7">
        <v>569</v>
      </c>
      <c r="I88" s="7">
        <v>455</v>
      </c>
      <c r="J88" s="7">
        <v>569</v>
      </c>
      <c r="K88" s="7">
        <f t="shared" si="3"/>
        <v>258895</v>
      </c>
      <c r="L88" s="29">
        <f t="shared" si="4"/>
        <v>38834.25</v>
      </c>
      <c r="M88" s="31">
        <f t="shared" si="5"/>
        <v>297729.25</v>
      </c>
      <c r="N88" s="31"/>
      <c r="O88" s="31"/>
      <c r="P88" s="39"/>
    </row>
    <row r="89" spans="1:16" ht="15.6" x14ac:dyDescent="0.3">
      <c r="A89" s="28">
        <v>46118</v>
      </c>
      <c r="B89" s="28"/>
      <c r="C89" s="28"/>
      <c r="D89" s="7">
        <v>8471</v>
      </c>
      <c r="E89" s="7" t="s">
        <v>57</v>
      </c>
      <c r="F89" s="7" t="s">
        <v>68</v>
      </c>
      <c r="G89" s="7" t="s">
        <v>45</v>
      </c>
      <c r="H89" s="7">
        <v>30</v>
      </c>
      <c r="I89" s="7">
        <v>972</v>
      </c>
      <c r="J89" s="7">
        <v>30</v>
      </c>
      <c r="K89" s="7">
        <f t="shared" si="3"/>
        <v>29160</v>
      </c>
      <c r="L89" s="29">
        <f t="shared" si="4"/>
        <v>4374</v>
      </c>
      <c r="M89" s="31">
        <f t="shared" si="5"/>
        <v>33534</v>
      </c>
      <c r="N89" s="31"/>
      <c r="O89" s="31"/>
      <c r="P89" s="39"/>
    </row>
    <row r="90" spans="1:16" x14ac:dyDescent="0.3">
      <c r="A90" s="28">
        <v>46118</v>
      </c>
      <c r="B90" s="28"/>
      <c r="C90" s="28"/>
      <c r="D90" s="7">
        <v>8472</v>
      </c>
      <c r="E90" s="7" t="s">
        <v>57</v>
      </c>
      <c r="F90" s="7" t="s">
        <v>141</v>
      </c>
      <c r="G90" s="7" t="s">
        <v>76</v>
      </c>
      <c r="H90" s="7">
        <v>1104</v>
      </c>
      <c r="I90" s="7">
        <v>28</v>
      </c>
      <c r="J90" s="7">
        <v>23049.85</v>
      </c>
      <c r="K90" s="7">
        <f t="shared" si="3"/>
        <v>645395.79999999993</v>
      </c>
      <c r="L90" s="29">
        <f t="shared" si="4"/>
        <v>96809.369999999981</v>
      </c>
      <c r="M90" s="31">
        <f t="shared" si="5"/>
        <v>742205.16999999993</v>
      </c>
      <c r="N90" s="31"/>
      <c r="O90" s="31"/>
      <c r="P90" s="44"/>
    </row>
    <row r="91" spans="1:16" ht="15.6" x14ac:dyDescent="0.3">
      <c r="A91" s="28">
        <v>46119</v>
      </c>
      <c r="B91" s="28"/>
      <c r="C91" s="28"/>
      <c r="D91" s="7">
        <v>32475</v>
      </c>
      <c r="E91" s="7" t="s">
        <v>95</v>
      </c>
      <c r="F91" s="7" t="s">
        <v>142</v>
      </c>
      <c r="G91" s="7" t="s">
        <v>45</v>
      </c>
      <c r="H91" s="7">
        <v>800</v>
      </c>
      <c r="I91" s="7">
        <v>430</v>
      </c>
      <c r="J91" s="7">
        <v>800</v>
      </c>
      <c r="K91" s="7">
        <f t="shared" si="3"/>
        <v>344000</v>
      </c>
      <c r="L91" s="29">
        <f t="shared" si="4"/>
        <v>51600</v>
      </c>
      <c r="M91" s="31">
        <f t="shared" si="5"/>
        <v>395600</v>
      </c>
      <c r="N91" s="31"/>
      <c r="O91" s="31"/>
      <c r="P91" s="39"/>
    </row>
    <row r="92" spans="1:16" ht="15.6" x14ac:dyDescent="0.3">
      <c r="A92" s="28">
        <v>46121</v>
      </c>
      <c r="B92" s="28"/>
      <c r="C92" s="28"/>
      <c r="D92" s="7">
        <v>15162</v>
      </c>
      <c r="E92" s="7" t="s">
        <v>31</v>
      </c>
      <c r="F92" s="7" t="s">
        <v>30</v>
      </c>
      <c r="G92" s="7" t="s">
        <v>45</v>
      </c>
      <c r="H92" s="7">
        <v>500</v>
      </c>
      <c r="I92" s="7">
        <v>358</v>
      </c>
      <c r="J92" s="7">
        <v>500</v>
      </c>
      <c r="K92" s="7">
        <f t="shared" si="3"/>
        <v>179000</v>
      </c>
      <c r="L92" s="29">
        <f t="shared" si="4"/>
        <v>26850</v>
      </c>
      <c r="M92" s="31">
        <f t="shared" si="5"/>
        <v>205850</v>
      </c>
      <c r="N92" s="31"/>
      <c r="O92" s="31"/>
      <c r="P92" s="39"/>
    </row>
    <row r="93" spans="1:16" ht="15.6" x14ac:dyDescent="0.3">
      <c r="A93" s="28">
        <v>46121</v>
      </c>
      <c r="B93" s="28"/>
      <c r="C93" s="28"/>
      <c r="D93" s="7">
        <v>97</v>
      </c>
      <c r="E93" s="7" t="s">
        <v>17</v>
      </c>
      <c r="F93" s="7" t="s">
        <v>148</v>
      </c>
      <c r="G93" s="7" t="s">
        <v>45</v>
      </c>
      <c r="H93" s="7">
        <v>4000</v>
      </c>
      <c r="I93" s="7">
        <v>165</v>
      </c>
      <c r="J93" s="7">
        <v>4000</v>
      </c>
      <c r="K93" s="7">
        <f t="shared" si="3"/>
        <v>660000</v>
      </c>
      <c r="L93" s="29">
        <f t="shared" si="4"/>
        <v>99000</v>
      </c>
      <c r="M93" s="31">
        <f t="shared" si="5"/>
        <v>759000</v>
      </c>
      <c r="N93" s="31"/>
      <c r="O93" s="31"/>
      <c r="P93" s="39"/>
    </row>
    <row r="94" spans="1:16" ht="15.6" x14ac:dyDescent="0.3">
      <c r="A94" s="28">
        <v>46124</v>
      </c>
      <c r="B94" s="28"/>
      <c r="C94" s="28"/>
      <c r="D94" s="7">
        <v>1113</v>
      </c>
      <c r="E94" s="7" t="s">
        <v>49</v>
      </c>
      <c r="F94" s="7" t="s">
        <v>124</v>
      </c>
      <c r="G94" s="7" t="s">
        <v>45</v>
      </c>
      <c r="H94" s="7">
        <v>1350</v>
      </c>
      <c r="I94" s="7">
        <v>355</v>
      </c>
      <c r="J94" s="7">
        <v>1350</v>
      </c>
      <c r="K94" s="7">
        <f t="shared" si="3"/>
        <v>479250</v>
      </c>
      <c r="L94" s="29">
        <f t="shared" si="4"/>
        <v>71887.5</v>
      </c>
      <c r="M94" s="31">
        <f t="shared" si="5"/>
        <v>551137.5</v>
      </c>
      <c r="N94" s="31"/>
      <c r="O94" s="31"/>
      <c r="P94" s="39"/>
    </row>
    <row r="95" spans="1:16" ht="15.6" x14ac:dyDescent="0.3">
      <c r="A95" s="28">
        <v>46126</v>
      </c>
      <c r="B95" s="28"/>
      <c r="C95" s="28"/>
      <c r="D95" s="7">
        <v>8485</v>
      </c>
      <c r="E95" s="7" t="s">
        <v>57</v>
      </c>
      <c r="F95" s="7" t="s">
        <v>21</v>
      </c>
      <c r="G95" s="7" t="s">
        <v>45</v>
      </c>
      <c r="H95" s="7">
        <v>901</v>
      </c>
      <c r="I95" s="7">
        <v>450</v>
      </c>
      <c r="J95" s="7">
        <v>901</v>
      </c>
      <c r="K95" s="7">
        <f t="shared" si="3"/>
        <v>405450</v>
      </c>
      <c r="L95" s="29">
        <f t="shared" si="4"/>
        <v>60817.5</v>
      </c>
      <c r="M95" s="31">
        <f t="shared" si="5"/>
        <v>466267.5</v>
      </c>
      <c r="N95" s="31"/>
      <c r="O95" s="31"/>
      <c r="P95" s="39"/>
    </row>
    <row r="96" spans="1:16" ht="15.6" x14ac:dyDescent="0.3">
      <c r="A96" s="28">
        <v>46126</v>
      </c>
      <c r="B96" s="28"/>
      <c r="C96" s="28"/>
      <c r="D96" s="7">
        <v>8485</v>
      </c>
      <c r="E96" s="7" t="s">
        <v>57</v>
      </c>
      <c r="F96" s="7" t="s">
        <v>18</v>
      </c>
      <c r="G96" s="7" t="s">
        <v>45</v>
      </c>
      <c r="H96" s="7">
        <v>569</v>
      </c>
      <c r="I96" s="7">
        <v>455</v>
      </c>
      <c r="J96" s="7">
        <v>569</v>
      </c>
      <c r="K96" s="7">
        <f t="shared" si="3"/>
        <v>258895</v>
      </c>
      <c r="L96" s="29">
        <f t="shared" si="4"/>
        <v>38834.25</v>
      </c>
      <c r="M96" s="31">
        <f t="shared" si="5"/>
        <v>297729.25</v>
      </c>
      <c r="N96" s="31"/>
      <c r="O96" s="31"/>
      <c r="P96" s="39"/>
    </row>
    <row r="97" spans="1:16" ht="15.6" x14ac:dyDescent="0.3">
      <c r="A97" s="28">
        <v>46126</v>
      </c>
      <c r="B97" s="28"/>
      <c r="C97" s="28"/>
      <c r="D97" s="7">
        <v>8485</v>
      </c>
      <c r="E97" s="7" t="s">
        <v>57</v>
      </c>
      <c r="F97" s="7" t="s">
        <v>68</v>
      </c>
      <c r="G97" s="7" t="s">
        <v>45</v>
      </c>
      <c r="H97" s="7">
        <v>30</v>
      </c>
      <c r="I97" s="7">
        <v>972</v>
      </c>
      <c r="J97" s="7">
        <v>30</v>
      </c>
      <c r="K97" s="7">
        <f t="shared" si="3"/>
        <v>29160</v>
      </c>
      <c r="L97" s="29">
        <f t="shared" si="4"/>
        <v>4374</v>
      </c>
      <c r="M97" s="31">
        <f t="shared" si="5"/>
        <v>33534</v>
      </c>
      <c r="N97" s="31"/>
      <c r="O97" s="31"/>
      <c r="P97" s="39"/>
    </row>
    <row r="98" spans="1:16" ht="15.6" x14ac:dyDescent="0.3">
      <c r="A98" s="28">
        <v>46132</v>
      </c>
      <c r="B98" s="28"/>
      <c r="C98" s="28"/>
      <c r="D98" s="7">
        <v>2735</v>
      </c>
      <c r="E98" s="7" t="s">
        <v>29</v>
      </c>
      <c r="F98" s="7" t="s">
        <v>163</v>
      </c>
      <c r="G98" s="7" t="s">
        <v>45</v>
      </c>
      <c r="H98" s="7">
        <v>122</v>
      </c>
      <c r="I98" s="7">
        <v>159</v>
      </c>
      <c r="J98" s="7">
        <v>122</v>
      </c>
      <c r="K98" s="7">
        <f t="shared" si="3"/>
        <v>19398</v>
      </c>
      <c r="L98" s="29">
        <f t="shared" si="4"/>
        <v>2909.7</v>
      </c>
      <c r="M98" s="31">
        <f t="shared" si="5"/>
        <v>22307.7</v>
      </c>
      <c r="N98" s="31"/>
      <c r="O98" s="31"/>
      <c r="P98" s="39"/>
    </row>
    <row r="99" spans="1:16" ht="15.6" x14ac:dyDescent="0.3">
      <c r="A99" s="28">
        <v>46134</v>
      </c>
      <c r="B99" s="28"/>
      <c r="C99" s="28"/>
      <c r="D99" s="7">
        <v>3581</v>
      </c>
      <c r="E99" s="7" t="s">
        <v>64</v>
      </c>
      <c r="F99" s="7" t="s">
        <v>65</v>
      </c>
      <c r="G99" s="7" t="s">
        <v>45</v>
      </c>
      <c r="H99" s="7">
        <v>50</v>
      </c>
      <c r="I99" s="7">
        <v>190</v>
      </c>
      <c r="J99" s="7">
        <v>50</v>
      </c>
      <c r="K99" s="7">
        <f t="shared" si="3"/>
        <v>9500</v>
      </c>
      <c r="L99" s="29">
        <f t="shared" si="4"/>
        <v>1425</v>
      </c>
      <c r="M99" s="31">
        <f t="shared" si="5"/>
        <v>10925</v>
      </c>
      <c r="N99" s="31"/>
      <c r="O99" s="31"/>
      <c r="P99" s="39"/>
    </row>
    <row r="100" spans="1:16" ht="15.6" x14ac:dyDescent="0.3">
      <c r="A100" s="28">
        <v>46137</v>
      </c>
      <c r="B100" s="28"/>
      <c r="C100" s="28"/>
      <c r="D100" s="7">
        <v>4063</v>
      </c>
      <c r="E100" s="7" t="s">
        <v>181</v>
      </c>
      <c r="F100" s="7" t="s">
        <v>171</v>
      </c>
      <c r="G100" s="7" t="s">
        <v>45</v>
      </c>
      <c r="H100" s="7">
        <v>1555</v>
      </c>
      <c r="I100" s="7">
        <v>450</v>
      </c>
      <c r="J100" s="7">
        <v>1555</v>
      </c>
      <c r="K100" s="7">
        <f t="shared" si="3"/>
        <v>699750</v>
      </c>
      <c r="L100" s="29">
        <f t="shared" si="4"/>
        <v>104962.5</v>
      </c>
      <c r="M100" s="31">
        <f t="shared" si="5"/>
        <v>804712.5</v>
      </c>
      <c r="N100" s="31"/>
      <c r="O100" s="31"/>
      <c r="P100" s="39"/>
    </row>
    <row r="101" spans="1:16" x14ac:dyDescent="0.3">
      <c r="A101" s="28">
        <v>46142</v>
      </c>
      <c r="B101" s="28"/>
      <c r="C101" s="28"/>
      <c r="D101" s="7">
        <v>8501</v>
      </c>
      <c r="E101" s="7" t="s">
        <v>57</v>
      </c>
      <c r="F101" s="7" t="s">
        <v>197</v>
      </c>
      <c r="G101" s="7" t="s">
        <v>45</v>
      </c>
      <c r="H101" s="7">
        <v>900</v>
      </c>
      <c r="I101" s="7">
        <v>420</v>
      </c>
      <c r="J101" s="7">
        <v>900</v>
      </c>
      <c r="K101" s="7">
        <f t="shared" si="3"/>
        <v>378000</v>
      </c>
      <c r="L101" s="29">
        <f t="shared" si="4"/>
        <v>56700</v>
      </c>
      <c r="M101" s="31">
        <f t="shared" si="5"/>
        <v>434700</v>
      </c>
      <c r="N101" s="31"/>
      <c r="O101" s="31"/>
      <c r="P101" s="101"/>
    </row>
    <row r="102" spans="1:16" ht="15.6" x14ac:dyDescent="0.3">
      <c r="A102" s="28">
        <v>46142</v>
      </c>
      <c r="B102" s="28"/>
      <c r="C102" s="28"/>
      <c r="D102" s="7">
        <v>8501</v>
      </c>
      <c r="E102" s="7" t="s">
        <v>57</v>
      </c>
      <c r="F102" s="7" t="s">
        <v>198</v>
      </c>
      <c r="G102" s="7" t="s">
        <v>45</v>
      </c>
      <c r="H102" s="7">
        <v>570</v>
      </c>
      <c r="I102" s="7">
        <v>440</v>
      </c>
      <c r="J102" s="7">
        <v>570</v>
      </c>
      <c r="K102" s="7">
        <f t="shared" si="3"/>
        <v>250800</v>
      </c>
      <c r="L102" s="29">
        <f t="shared" si="4"/>
        <v>37620</v>
      </c>
      <c r="M102" s="31">
        <f t="shared" si="5"/>
        <v>288420</v>
      </c>
      <c r="N102" s="31"/>
      <c r="O102" s="31"/>
      <c r="P102" s="39"/>
    </row>
    <row r="103" spans="1:16" ht="15.6" x14ac:dyDescent="0.3">
      <c r="A103" s="28">
        <v>46142</v>
      </c>
      <c r="B103" s="28"/>
      <c r="C103" s="28"/>
      <c r="D103" s="7">
        <v>8501</v>
      </c>
      <c r="E103" s="7" t="s">
        <v>57</v>
      </c>
      <c r="F103" s="7" t="s">
        <v>199</v>
      </c>
      <c r="G103" s="7" t="s">
        <v>45</v>
      </c>
      <c r="H103" s="7">
        <v>30</v>
      </c>
      <c r="I103" s="7">
        <v>990</v>
      </c>
      <c r="J103" s="7">
        <v>30</v>
      </c>
      <c r="K103" s="7">
        <f t="shared" si="3"/>
        <v>29700</v>
      </c>
      <c r="L103" s="29">
        <f t="shared" si="4"/>
        <v>4455</v>
      </c>
      <c r="M103" s="31">
        <f t="shared" si="5"/>
        <v>34155</v>
      </c>
      <c r="N103" s="31"/>
      <c r="O103" s="31"/>
      <c r="P103" s="39"/>
    </row>
    <row r="104" spans="1:16" ht="15.6" x14ac:dyDescent="0.3">
      <c r="A104" s="28">
        <v>46142</v>
      </c>
      <c r="B104" s="28"/>
      <c r="C104" s="28"/>
      <c r="D104" s="7">
        <v>3658</v>
      </c>
      <c r="E104" s="7" t="s">
        <v>64</v>
      </c>
      <c r="F104" s="7" t="s">
        <v>65</v>
      </c>
      <c r="G104" s="7" t="s">
        <v>45</v>
      </c>
      <c r="H104" s="7">
        <v>10</v>
      </c>
      <c r="I104" s="7">
        <v>190</v>
      </c>
      <c r="J104" s="7">
        <v>10</v>
      </c>
      <c r="K104" s="7">
        <f t="shared" si="3"/>
        <v>1900</v>
      </c>
      <c r="L104" s="29">
        <f t="shared" si="4"/>
        <v>285</v>
      </c>
      <c r="M104" s="31">
        <f t="shared" si="5"/>
        <v>2185</v>
      </c>
      <c r="N104" s="31"/>
      <c r="O104" s="31"/>
      <c r="P104" s="39"/>
    </row>
    <row r="105" spans="1:16" ht="15.6" x14ac:dyDescent="0.3">
      <c r="A105" s="28">
        <v>46146</v>
      </c>
      <c r="B105" s="28"/>
      <c r="C105" s="28"/>
      <c r="D105" s="7">
        <v>1222</v>
      </c>
      <c r="E105" s="7" t="s">
        <v>49</v>
      </c>
      <c r="F105" s="7" t="s">
        <v>191</v>
      </c>
      <c r="G105" s="7" t="s">
        <v>76</v>
      </c>
      <c r="H105" s="7"/>
      <c r="I105" s="7">
        <v>20.5</v>
      </c>
      <c r="J105" s="7">
        <v>25242</v>
      </c>
      <c r="K105" s="7">
        <f t="shared" si="3"/>
        <v>517461</v>
      </c>
      <c r="L105" s="29">
        <f t="shared" si="4"/>
        <v>77619.149999999994</v>
      </c>
      <c r="M105" s="31">
        <f t="shared" si="5"/>
        <v>595080.15</v>
      </c>
      <c r="N105" s="31"/>
      <c r="O105" s="31"/>
      <c r="P105" s="39"/>
    </row>
    <row r="106" spans="1:16" ht="15.6" x14ac:dyDescent="0.3">
      <c r="A106" s="28">
        <v>46147</v>
      </c>
      <c r="B106" s="28"/>
      <c r="C106" s="105"/>
      <c r="D106" s="7">
        <v>3694</v>
      </c>
      <c r="E106" s="7" t="s">
        <v>64</v>
      </c>
      <c r="F106" s="7" t="s">
        <v>65</v>
      </c>
      <c r="G106" s="7" t="s">
        <v>45</v>
      </c>
      <c r="H106" s="7">
        <v>20</v>
      </c>
      <c r="I106" s="7">
        <v>187</v>
      </c>
      <c r="J106" s="7">
        <v>20</v>
      </c>
      <c r="K106" s="7">
        <f t="shared" si="3"/>
        <v>3740</v>
      </c>
      <c r="L106" s="29">
        <f t="shared" si="4"/>
        <v>561</v>
      </c>
      <c r="M106" s="31">
        <f t="shared" si="5"/>
        <v>4301</v>
      </c>
      <c r="N106" s="31"/>
      <c r="O106" s="31"/>
      <c r="P106" s="39"/>
    </row>
    <row r="107" spans="1:16" ht="15.6" x14ac:dyDescent="0.3">
      <c r="A107" s="28">
        <v>46152</v>
      </c>
      <c r="B107" s="28"/>
      <c r="C107" s="28"/>
      <c r="D107" s="7">
        <v>3742</v>
      </c>
      <c r="E107" s="7" t="s">
        <v>64</v>
      </c>
      <c r="F107" s="7" t="s">
        <v>65</v>
      </c>
      <c r="G107" s="7" t="s">
        <v>45</v>
      </c>
      <c r="H107" s="7">
        <v>20</v>
      </c>
      <c r="I107" s="7">
        <v>184</v>
      </c>
      <c r="J107" s="7">
        <v>20</v>
      </c>
      <c r="K107" s="7">
        <f t="shared" si="3"/>
        <v>3680</v>
      </c>
      <c r="L107" s="29">
        <f t="shared" si="4"/>
        <v>552</v>
      </c>
      <c r="M107" s="31">
        <f t="shared" si="5"/>
        <v>4232</v>
      </c>
      <c r="N107" s="31"/>
      <c r="O107" s="31"/>
      <c r="P107" s="39"/>
    </row>
    <row r="108" spans="1:16" ht="15.6" x14ac:dyDescent="0.3">
      <c r="A108" s="28">
        <v>46154</v>
      </c>
      <c r="B108" s="28"/>
      <c r="C108" s="28"/>
      <c r="D108" s="7">
        <v>18545</v>
      </c>
      <c r="E108" s="7" t="s">
        <v>217</v>
      </c>
      <c r="F108" s="7" t="s">
        <v>48</v>
      </c>
      <c r="G108" s="7" t="s">
        <v>45</v>
      </c>
      <c r="H108" s="7">
        <v>86</v>
      </c>
      <c r="I108" s="7">
        <v>657</v>
      </c>
      <c r="J108" s="7">
        <v>86</v>
      </c>
      <c r="K108" s="7">
        <f t="shared" si="3"/>
        <v>56502</v>
      </c>
      <c r="L108" s="29">
        <f t="shared" si="4"/>
        <v>8475.2999999999993</v>
      </c>
      <c r="M108" s="31">
        <f t="shared" si="5"/>
        <v>64977.3</v>
      </c>
      <c r="N108" s="31"/>
      <c r="O108" s="31"/>
      <c r="P108" s="39"/>
    </row>
    <row r="109" spans="1:16" ht="15.6" x14ac:dyDescent="0.3">
      <c r="A109" s="28">
        <v>46155</v>
      </c>
      <c r="B109" s="28"/>
      <c r="C109" s="28"/>
      <c r="D109" s="7">
        <v>3772</v>
      </c>
      <c r="E109" s="7" t="s">
        <v>64</v>
      </c>
      <c r="F109" s="7" t="s">
        <v>65</v>
      </c>
      <c r="G109" s="7" t="s">
        <v>45</v>
      </c>
      <c r="H109" s="7">
        <v>15</v>
      </c>
      <c r="I109" s="7">
        <v>182</v>
      </c>
      <c r="J109" s="7">
        <v>15</v>
      </c>
      <c r="K109" s="7">
        <f t="shared" si="3"/>
        <v>2730</v>
      </c>
      <c r="L109" s="29">
        <f t="shared" si="4"/>
        <v>409.5</v>
      </c>
      <c r="M109" s="31">
        <f t="shared" si="5"/>
        <v>3139.5</v>
      </c>
      <c r="N109" s="31"/>
      <c r="O109" s="31"/>
      <c r="P109" s="39"/>
    </row>
    <row r="110" spans="1:16" ht="15.6" x14ac:dyDescent="0.3">
      <c r="A110" s="28">
        <v>46158</v>
      </c>
      <c r="B110" s="28"/>
      <c r="C110" s="28"/>
      <c r="D110" s="7">
        <v>93</v>
      </c>
      <c r="E110" s="7" t="s">
        <v>209</v>
      </c>
      <c r="F110" s="7" t="s">
        <v>65</v>
      </c>
      <c r="G110" s="7" t="s">
        <v>45</v>
      </c>
      <c r="H110" s="7">
        <v>30</v>
      </c>
      <c r="I110" s="7">
        <v>168</v>
      </c>
      <c r="J110" s="7">
        <v>30</v>
      </c>
      <c r="K110" s="7">
        <f t="shared" si="3"/>
        <v>5040</v>
      </c>
      <c r="L110" s="29">
        <f t="shared" si="4"/>
        <v>756</v>
      </c>
      <c r="M110" s="31">
        <f t="shared" si="5"/>
        <v>5796</v>
      </c>
      <c r="N110" s="31"/>
      <c r="O110" s="31"/>
      <c r="P110" s="39"/>
    </row>
    <row r="111" spans="1:16" ht="15.6" x14ac:dyDescent="0.3">
      <c r="A111" s="28">
        <v>46167</v>
      </c>
      <c r="B111" s="28"/>
      <c r="C111" s="28"/>
      <c r="D111" s="7">
        <v>840</v>
      </c>
      <c r="E111" s="7" t="s">
        <v>73</v>
      </c>
      <c r="F111" s="7" t="s">
        <v>65</v>
      </c>
      <c r="G111" s="7" t="s">
        <v>45</v>
      </c>
      <c r="H111" s="7">
        <v>30</v>
      </c>
      <c r="I111" s="7">
        <v>175</v>
      </c>
      <c r="J111" s="7">
        <v>30</v>
      </c>
      <c r="K111" s="7">
        <f t="shared" si="3"/>
        <v>5250</v>
      </c>
      <c r="L111" s="29">
        <f t="shared" si="4"/>
        <v>787.5</v>
      </c>
      <c r="M111" s="31">
        <f t="shared" si="5"/>
        <v>6037.5</v>
      </c>
      <c r="N111" s="31"/>
      <c r="O111" s="31"/>
      <c r="P111" s="39"/>
    </row>
    <row r="112" spans="1:16" ht="15.6" x14ac:dyDescent="0.3">
      <c r="A112" s="28">
        <v>46176</v>
      </c>
      <c r="B112" s="28"/>
      <c r="C112" s="28"/>
      <c r="D112" s="7">
        <v>3004</v>
      </c>
      <c r="E112" s="7" t="s">
        <v>29</v>
      </c>
      <c r="F112" s="7" t="s">
        <v>16</v>
      </c>
      <c r="G112" s="7" t="s">
        <v>45</v>
      </c>
      <c r="H112" s="7">
        <v>500</v>
      </c>
      <c r="I112" s="7">
        <v>175</v>
      </c>
      <c r="J112" s="7">
        <v>500</v>
      </c>
      <c r="K112" s="7">
        <f t="shared" si="3"/>
        <v>87500</v>
      </c>
      <c r="L112" s="29">
        <f t="shared" si="4"/>
        <v>13125</v>
      </c>
      <c r="M112" s="31">
        <f t="shared" si="5"/>
        <v>100625</v>
      </c>
      <c r="N112" s="31"/>
      <c r="O112" s="31"/>
      <c r="P112" s="39"/>
    </row>
    <row r="113" spans="1:16" ht="15.6" x14ac:dyDescent="0.3">
      <c r="A113" s="28">
        <v>46187</v>
      </c>
      <c r="B113" s="28"/>
      <c r="C113" s="28"/>
      <c r="D113" s="7">
        <v>6306</v>
      </c>
      <c r="E113" s="7" t="s">
        <v>213</v>
      </c>
      <c r="F113" s="7" t="s">
        <v>65</v>
      </c>
      <c r="G113" s="7" t="s">
        <v>45</v>
      </c>
      <c r="H113" s="7">
        <v>50</v>
      </c>
      <c r="I113" s="7">
        <v>175</v>
      </c>
      <c r="J113" s="7">
        <v>50</v>
      </c>
      <c r="K113" s="7">
        <f t="shared" si="3"/>
        <v>8750</v>
      </c>
      <c r="L113" s="29">
        <f t="shared" si="4"/>
        <v>1312.5</v>
      </c>
      <c r="M113" s="31">
        <f t="shared" si="5"/>
        <v>10062.5</v>
      </c>
      <c r="N113" s="31"/>
      <c r="O113" s="31"/>
      <c r="P113" s="39"/>
    </row>
    <row r="114" spans="1:16" ht="15.6" x14ac:dyDescent="0.3">
      <c r="A114" s="28">
        <v>46187</v>
      </c>
      <c r="B114" s="28"/>
      <c r="C114" s="28"/>
      <c r="D114" s="7">
        <v>18832</v>
      </c>
      <c r="E114" s="7" t="s">
        <v>217</v>
      </c>
      <c r="F114" s="7" t="s">
        <v>22</v>
      </c>
      <c r="G114" s="7" t="s">
        <v>45</v>
      </c>
      <c r="H114" s="7">
        <v>50</v>
      </c>
      <c r="I114" s="7">
        <v>175</v>
      </c>
      <c r="J114" s="7">
        <v>50</v>
      </c>
      <c r="K114" s="7">
        <f t="shared" si="3"/>
        <v>8750</v>
      </c>
      <c r="L114" s="29">
        <f t="shared" si="4"/>
        <v>1312.5</v>
      </c>
      <c r="M114" s="31">
        <f t="shared" si="5"/>
        <v>10062.5</v>
      </c>
      <c r="N114" s="31"/>
      <c r="O114" s="31"/>
      <c r="P114" s="39"/>
    </row>
    <row r="115" spans="1:16" ht="15.6" x14ac:dyDescent="0.3">
      <c r="A115" s="28">
        <v>46190</v>
      </c>
      <c r="B115" s="28" t="s">
        <v>51</v>
      </c>
      <c r="C115" s="28" t="s">
        <v>51</v>
      </c>
      <c r="D115" s="7">
        <v>774</v>
      </c>
      <c r="E115" s="7" t="s">
        <v>222</v>
      </c>
      <c r="F115" s="7" t="s">
        <v>22</v>
      </c>
      <c r="G115" s="7" t="s">
        <v>45</v>
      </c>
      <c r="H115" s="7">
        <v>100</v>
      </c>
      <c r="I115" s="7">
        <v>177</v>
      </c>
      <c r="J115" s="7">
        <v>100</v>
      </c>
      <c r="K115" s="7">
        <f t="shared" si="3"/>
        <v>17700</v>
      </c>
      <c r="L115" s="29">
        <f t="shared" si="4"/>
        <v>2655</v>
      </c>
      <c r="M115" s="31">
        <f t="shared" si="5"/>
        <v>20355</v>
      </c>
      <c r="N115" s="31"/>
      <c r="O115" s="31"/>
      <c r="P115" s="39"/>
    </row>
    <row r="116" spans="1:16" ht="15.6" x14ac:dyDescent="0.3">
      <c r="A116" s="28">
        <v>46190</v>
      </c>
      <c r="B116" s="28"/>
      <c r="C116" s="28"/>
      <c r="D116" s="7">
        <v>89441</v>
      </c>
      <c r="E116" s="7" t="s">
        <v>182</v>
      </c>
      <c r="F116" s="7" t="s">
        <v>223</v>
      </c>
      <c r="G116" s="7" t="s">
        <v>76</v>
      </c>
      <c r="H116" s="7">
        <v>2</v>
      </c>
      <c r="I116" s="7">
        <v>64</v>
      </c>
      <c r="J116" s="7">
        <v>39.53</v>
      </c>
      <c r="K116" s="7">
        <f t="shared" si="3"/>
        <v>2529.92</v>
      </c>
      <c r="L116" s="29">
        <f t="shared" si="4"/>
        <v>379.488</v>
      </c>
      <c r="M116" s="31">
        <f t="shared" si="5"/>
        <v>2909.4079999999999</v>
      </c>
      <c r="N116" s="31"/>
      <c r="O116" s="31"/>
      <c r="P116" s="39"/>
    </row>
    <row r="117" spans="1:16" ht="15" customHeight="1" x14ac:dyDescent="0.3">
      <c r="A117" s="28">
        <v>46190</v>
      </c>
      <c r="B117" s="28"/>
      <c r="C117" s="28"/>
      <c r="D117" s="7">
        <v>89441</v>
      </c>
      <c r="E117" s="7" t="s">
        <v>182</v>
      </c>
      <c r="F117" s="6" t="s">
        <v>221</v>
      </c>
      <c r="G117" s="7" t="s">
        <v>45</v>
      </c>
      <c r="H117" s="7">
        <v>1</v>
      </c>
      <c r="I117" s="7">
        <v>345</v>
      </c>
      <c r="J117" s="7">
        <v>1</v>
      </c>
      <c r="K117" s="7">
        <f t="shared" si="3"/>
        <v>345</v>
      </c>
      <c r="L117" s="29">
        <f t="shared" si="4"/>
        <v>51.75</v>
      </c>
      <c r="M117" s="31">
        <f t="shared" si="5"/>
        <v>396.75</v>
      </c>
      <c r="N117" s="31"/>
      <c r="O117" s="31"/>
      <c r="P117" s="39"/>
    </row>
    <row r="118" spans="1:16" ht="15.6" x14ac:dyDescent="0.3">
      <c r="A118" s="28">
        <v>46191</v>
      </c>
      <c r="B118" s="28"/>
      <c r="C118" s="28"/>
      <c r="D118" s="7">
        <v>15825</v>
      </c>
      <c r="E118" s="7" t="s">
        <v>31</v>
      </c>
      <c r="F118" s="7" t="s">
        <v>16</v>
      </c>
      <c r="G118" s="7" t="s">
        <v>45</v>
      </c>
      <c r="H118" s="7">
        <v>500</v>
      </c>
      <c r="I118" s="7">
        <v>173</v>
      </c>
      <c r="J118" s="7">
        <v>500</v>
      </c>
      <c r="K118" s="7">
        <f t="shared" si="3"/>
        <v>86500</v>
      </c>
      <c r="L118" s="29">
        <f t="shared" si="4"/>
        <v>12975</v>
      </c>
      <c r="M118" s="31">
        <f t="shared" si="5"/>
        <v>99475</v>
      </c>
      <c r="N118" s="31"/>
      <c r="O118" s="31"/>
      <c r="P118" s="39"/>
    </row>
    <row r="119" spans="1:16" ht="15.6" x14ac:dyDescent="0.3">
      <c r="A119" s="28">
        <v>46194</v>
      </c>
      <c r="B119" s="28"/>
      <c r="C119" s="28"/>
      <c r="D119" s="7">
        <v>1383</v>
      </c>
      <c r="E119" s="7" t="s">
        <v>49</v>
      </c>
      <c r="F119" s="7" t="s">
        <v>22</v>
      </c>
      <c r="G119" s="7" t="s">
        <v>45</v>
      </c>
      <c r="H119" s="7">
        <v>2700</v>
      </c>
      <c r="I119" s="7">
        <v>175</v>
      </c>
      <c r="J119" s="7">
        <v>2700</v>
      </c>
      <c r="K119" s="7">
        <f t="shared" si="3"/>
        <v>472500</v>
      </c>
      <c r="L119" s="29">
        <f t="shared" si="4"/>
        <v>70875</v>
      </c>
      <c r="M119" s="31">
        <f t="shared" si="5"/>
        <v>543375</v>
      </c>
      <c r="N119" s="31"/>
      <c r="O119" s="31"/>
      <c r="P119" s="39"/>
    </row>
    <row r="120" spans="1:16" x14ac:dyDescent="0.3">
      <c r="A120" s="28">
        <v>46194</v>
      </c>
      <c r="B120" s="28"/>
      <c r="C120" s="28"/>
      <c r="D120" s="7">
        <v>325</v>
      </c>
      <c r="E120" s="7" t="s">
        <v>225</v>
      </c>
      <c r="F120" s="6" t="s">
        <v>224</v>
      </c>
      <c r="G120" s="7" t="s">
        <v>45</v>
      </c>
      <c r="H120" s="7">
        <v>10</v>
      </c>
      <c r="I120" s="7">
        <v>680</v>
      </c>
      <c r="J120" s="7">
        <v>10</v>
      </c>
      <c r="K120" s="7">
        <f t="shared" si="3"/>
        <v>6800</v>
      </c>
      <c r="L120" s="29">
        <f t="shared" si="4"/>
        <v>1020</v>
      </c>
      <c r="M120" s="31">
        <f t="shared" si="5"/>
        <v>7820</v>
      </c>
      <c r="N120" s="31"/>
      <c r="O120" s="31"/>
      <c r="P120" s="44"/>
    </row>
    <row r="121" spans="1:16" x14ac:dyDescent="0.3">
      <c r="A121" s="28">
        <v>46195</v>
      </c>
      <c r="B121" s="28"/>
      <c r="C121" s="28"/>
      <c r="D121" s="7">
        <v>326</v>
      </c>
      <c r="E121" s="7" t="s">
        <v>225</v>
      </c>
      <c r="F121" s="7" t="s">
        <v>227</v>
      </c>
      <c r="G121" s="7" t="s">
        <v>45</v>
      </c>
      <c r="H121" s="7">
        <v>100</v>
      </c>
      <c r="I121" s="7">
        <v>383</v>
      </c>
      <c r="J121" s="7">
        <v>100</v>
      </c>
      <c r="K121" s="7">
        <f t="shared" si="3"/>
        <v>38300</v>
      </c>
      <c r="L121" s="29">
        <f t="shared" si="4"/>
        <v>5745</v>
      </c>
      <c r="M121" s="31">
        <f t="shared" si="5"/>
        <v>44045</v>
      </c>
      <c r="N121" s="31"/>
      <c r="O121" s="31"/>
      <c r="P121" s="44"/>
    </row>
    <row r="122" spans="1:16" ht="15.6" x14ac:dyDescent="0.3">
      <c r="A122" s="28"/>
      <c r="B122" s="28"/>
      <c r="C122" s="28"/>
      <c r="D122" s="7"/>
      <c r="E122" s="7"/>
      <c r="F122" s="7"/>
      <c r="G122" s="7"/>
      <c r="H122" s="7"/>
      <c r="I122" s="7"/>
      <c r="J122" s="7"/>
      <c r="K122" s="7">
        <f t="shared" si="3"/>
        <v>0</v>
      </c>
      <c r="L122" s="29">
        <f t="shared" si="4"/>
        <v>0</v>
      </c>
      <c r="M122" s="31">
        <f t="shared" si="5"/>
        <v>0</v>
      </c>
      <c r="N122" s="31"/>
      <c r="O122" s="31"/>
      <c r="P122" s="39"/>
    </row>
    <row r="123" spans="1:16" ht="15.6" x14ac:dyDescent="0.3">
      <c r="A123" s="28"/>
      <c r="B123" s="28"/>
      <c r="C123" s="28"/>
      <c r="D123" s="7"/>
      <c r="E123" s="7"/>
      <c r="F123" s="7"/>
      <c r="G123" s="7"/>
      <c r="H123" s="7"/>
      <c r="I123" s="7"/>
      <c r="J123" s="7"/>
      <c r="K123" s="7">
        <f t="shared" si="3"/>
        <v>0</v>
      </c>
      <c r="L123" s="29">
        <f t="shared" si="4"/>
        <v>0</v>
      </c>
      <c r="M123" s="31">
        <f t="shared" si="5"/>
        <v>0</v>
      </c>
      <c r="N123" s="31"/>
      <c r="O123" s="31"/>
      <c r="P123" s="39"/>
    </row>
    <row r="124" spans="1:16" ht="15.6" x14ac:dyDescent="0.3">
      <c r="A124" s="28"/>
      <c r="B124" s="28"/>
      <c r="C124" s="28"/>
      <c r="D124" s="7"/>
      <c r="E124" s="7"/>
      <c r="F124" s="7"/>
      <c r="G124" s="7"/>
      <c r="H124" s="7"/>
      <c r="I124" s="7"/>
      <c r="J124" s="7"/>
      <c r="K124" s="7">
        <f t="shared" si="3"/>
        <v>0</v>
      </c>
      <c r="L124" s="29">
        <f t="shared" si="4"/>
        <v>0</v>
      </c>
      <c r="M124" s="31">
        <f t="shared" si="5"/>
        <v>0</v>
      </c>
      <c r="N124" s="31"/>
      <c r="O124" s="31"/>
      <c r="P124" s="39"/>
    </row>
    <row r="125" spans="1:16" ht="15.6" x14ac:dyDescent="0.3">
      <c r="A125" s="28"/>
      <c r="B125" s="28"/>
      <c r="C125" s="28"/>
      <c r="D125" s="7"/>
      <c r="E125" s="7"/>
      <c r="F125" s="7"/>
      <c r="G125" s="7"/>
      <c r="H125" s="7"/>
      <c r="I125" s="7"/>
      <c r="J125" s="7"/>
      <c r="K125" s="7">
        <f t="shared" si="3"/>
        <v>0</v>
      </c>
      <c r="L125" s="29">
        <f t="shared" si="4"/>
        <v>0</v>
      </c>
      <c r="M125" s="31">
        <f t="shared" si="5"/>
        <v>0</v>
      </c>
      <c r="N125" s="31"/>
      <c r="O125" s="31"/>
      <c r="P125" s="39"/>
    </row>
    <row r="126" spans="1:16" ht="15.6" x14ac:dyDescent="0.3">
      <c r="A126" s="28"/>
      <c r="B126" s="28"/>
      <c r="C126" s="28"/>
      <c r="D126" s="7"/>
      <c r="E126" s="7"/>
      <c r="F126" s="7"/>
      <c r="G126" s="7"/>
      <c r="H126" s="7"/>
      <c r="I126" s="7"/>
      <c r="J126" s="7"/>
      <c r="K126" s="7">
        <f t="shared" si="3"/>
        <v>0</v>
      </c>
      <c r="L126" s="29">
        <f t="shared" si="4"/>
        <v>0</v>
      </c>
      <c r="M126" s="31">
        <f t="shared" si="5"/>
        <v>0</v>
      </c>
      <c r="N126" s="31"/>
      <c r="O126" s="31"/>
      <c r="P126" s="39"/>
    </row>
    <row r="127" spans="1:16" ht="15.6" x14ac:dyDescent="0.3">
      <c r="A127" s="28"/>
      <c r="B127" s="28"/>
      <c r="C127" s="28"/>
      <c r="D127" s="7"/>
      <c r="E127" s="7"/>
      <c r="F127" s="7"/>
      <c r="G127" s="7"/>
      <c r="H127" s="7"/>
      <c r="I127" s="7"/>
      <c r="J127" s="7"/>
      <c r="K127" s="7">
        <f t="shared" si="3"/>
        <v>0</v>
      </c>
      <c r="L127" s="29">
        <f t="shared" si="4"/>
        <v>0</v>
      </c>
      <c r="M127" s="31">
        <f t="shared" si="5"/>
        <v>0</v>
      </c>
      <c r="N127" s="31"/>
      <c r="O127" s="31">
        <f t="shared" ref="O67:O127" si="6">M127-N127</f>
        <v>0</v>
      </c>
      <c r="P127" s="39"/>
    </row>
    <row r="128" spans="1:16" x14ac:dyDescent="0.3">
      <c r="A128" s="28"/>
      <c r="B128" s="28"/>
      <c r="C128" s="28"/>
      <c r="D128" s="7"/>
      <c r="E128" s="7"/>
      <c r="F128" s="7"/>
      <c r="G128" s="7"/>
      <c r="H128" s="7"/>
      <c r="I128" s="7"/>
      <c r="J128" s="40">
        <f>SUBTOTAL(9,J3:J127)</f>
        <v>184689.91</v>
      </c>
      <c r="K128" s="40">
        <f>SUBTOTAL(9,K3:K127)</f>
        <v>18322174.680043481</v>
      </c>
      <c r="L128" s="40">
        <f t="shared" ref="L128:N128" si="7">SUBTOTAL(9,L3:L127)</f>
        <v>2748326.2020065212</v>
      </c>
      <c r="M128" s="40">
        <f t="shared" si="7"/>
        <v>21070500.882049996</v>
      </c>
      <c r="N128" s="40">
        <f t="shared" si="7"/>
        <v>0</v>
      </c>
      <c r="O128" s="31">
        <f>SUM(O4:O127)</f>
        <v>0</v>
      </c>
    </row>
    <row r="131" spans="5:15" x14ac:dyDescent="0.3">
      <c r="L131" t="s">
        <v>100</v>
      </c>
      <c r="M131" t="s">
        <v>9</v>
      </c>
    </row>
    <row r="132" spans="5:15" x14ac:dyDescent="0.3">
      <c r="I132" s="110" t="s">
        <v>101</v>
      </c>
      <c r="J132" s="110"/>
      <c r="K132" s="110"/>
      <c r="L132" s="57">
        <v>10271094</v>
      </c>
      <c r="M132" s="57"/>
    </row>
    <row r="133" spans="5:15" x14ac:dyDescent="0.3">
      <c r="I133" s="110" t="s">
        <v>102</v>
      </c>
      <c r="J133" s="110"/>
      <c r="K133" s="110"/>
      <c r="L133" s="57">
        <v>1043484</v>
      </c>
      <c r="M133" s="57"/>
    </row>
    <row r="134" spans="5:15" x14ac:dyDescent="0.3">
      <c r="L134" s="57">
        <f>L132+L133</f>
        <v>11314578</v>
      </c>
      <c r="M134" s="57">
        <f>L134*0.15</f>
        <v>1697186.7</v>
      </c>
    </row>
    <row r="135" spans="5:15" x14ac:dyDescent="0.3">
      <c r="J135" t="s">
        <v>103</v>
      </c>
      <c r="L135" s="57">
        <v>9962294.3684999999</v>
      </c>
      <c r="M135" s="57"/>
    </row>
    <row r="136" spans="5:15" x14ac:dyDescent="0.3">
      <c r="E136">
        <v>8966064.9316499997</v>
      </c>
      <c r="J136" t="s">
        <v>104</v>
      </c>
      <c r="L136" s="57">
        <v>1782680</v>
      </c>
      <c r="M136" s="57"/>
    </row>
    <row r="137" spans="5:15" x14ac:dyDescent="0.3">
      <c r="L137" s="57">
        <f>L135+L136</f>
        <v>11744974.3685</v>
      </c>
      <c r="M137" s="57">
        <f>L137*0.15</f>
        <v>1761746.155275</v>
      </c>
    </row>
    <row r="139" spans="5:15" x14ac:dyDescent="0.3">
      <c r="M139" s="57">
        <f>M137-M134</f>
        <v>64559.455275000073</v>
      </c>
    </row>
    <row r="140" spans="5:15" x14ac:dyDescent="0.3">
      <c r="E140" t="s">
        <v>105</v>
      </c>
      <c r="F140">
        <f>1387257.96+267402</f>
        <v>1654659.96</v>
      </c>
      <c r="K140" t="s">
        <v>106</v>
      </c>
      <c r="L140" t="s">
        <v>107</v>
      </c>
      <c r="N140" t="s">
        <v>108</v>
      </c>
    </row>
    <row r="141" spans="5:15" x14ac:dyDescent="0.3">
      <c r="E141" t="s">
        <v>109</v>
      </c>
      <c r="F141">
        <v>1697186.65</v>
      </c>
      <c r="J141" t="s">
        <v>103</v>
      </c>
      <c r="L141" s="57">
        <v>8966064.9316499997</v>
      </c>
      <c r="N141">
        <v>9248386.4170999993</v>
      </c>
      <c r="O141">
        <f>N141*15%</f>
        <v>1387257.9625649999</v>
      </c>
    </row>
    <row r="142" spans="5:15" x14ac:dyDescent="0.3">
      <c r="J142" t="s">
        <v>104</v>
      </c>
      <c r="L142" s="57">
        <v>1782680</v>
      </c>
      <c r="N142">
        <v>1782680</v>
      </c>
      <c r="O142">
        <f>N142*15%</f>
        <v>267402</v>
      </c>
    </row>
    <row r="143" spans="5:15" x14ac:dyDescent="0.3">
      <c r="E143" t="s">
        <v>110</v>
      </c>
      <c r="F143">
        <f>F140-F141</f>
        <v>-42526.689999999944</v>
      </c>
      <c r="L143">
        <f>SUBTOTAL(9,L141:L142)</f>
        <v>10748744.93165</v>
      </c>
      <c r="M143">
        <f>L143*0.15</f>
        <v>1612311.7397474998</v>
      </c>
    </row>
    <row r="145" spans="13:13" x14ac:dyDescent="0.3">
      <c r="M145" s="57">
        <f>M143-M134</f>
        <v>-84874.960252500139</v>
      </c>
    </row>
  </sheetData>
  <autoFilter ref="A2:P127" xr:uid="{C83DFFCC-A802-4503-938D-6412677C68F0}"/>
  <mergeCells count="2">
    <mergeCell ref="I132:K132"/>
    <mergeCell ref="I133:K133"/>
  </mergeCells>
  <pageMargins left="0.7" right="0.7" top="0.2" bottom="0.14000000000000001" header="0.14000000000000001" footer="0.1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شهر يونيو 2026</vt:lpstr>
      <vt:lpstr>شهر مايو 2026</vt:lpstr>
      <vt:lpstr>شهر ابريل 2026</vt:lpstr>
      <vt:lpstr>المشتريات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habbash</cp:lastModifiedBy>
  <cp:lastPrinted>2026-06-22T07:02:08Z</cp:lastPrinted>
  <dcterms:created xsi:type="dcterms:W3CDTF">2015-06-05T18:17:20Z</dcterms:created>
  <dcterms:modified xsi:type="dcterms:W3CDTF">2026-06-22T14:52:05Z</dcterms:modified>
</cp:coreProperties>
</file>
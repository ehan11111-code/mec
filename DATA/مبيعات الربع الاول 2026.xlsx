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حسابات شركة طاهي الشرق الاوسط\ملفات مرسلة الي ايهان\"/>
    </mc:Choice>
  </mc:AlternateContent>
  <xr:revisionPtr revIDLastSave="0" documentId="13_ncr:1_{ED6EA263-8AD7-4092-B9F4-0E634E4119C5}" xr6:coauthVersionLast="47" xr6:coauthVersionMax="47" xr10:uidLastSave="{00000000-0000-0000-0000-000000000000}"/>
  <bookViews>
    <workbookView xWindow="-108" yWindow="-108" windowWidth="23256" windowHeight="13896" tabRatio="892" activeTab="3" xr2:uid="{00000000-000D-0000-FFFF-FFFF00000000}"/>
  </bookViews>
  <sheets>
    <sheet name="يناير 2026" sheetId="1" r:id="rId1"/>
    <sheet name="فبراير 2026" sheetId="7" r:id="rId2"/>
    <sheet name="مارس 2026" sheetId="9" r:id="rId3"/>
    <sheet name="المشتريات" sheetId="4" r:id="rId4"/>
  </sheets>
  <definedNames>
    <definedName name="_xlnm._FilterDatabase" localSheetId="3" hidden="1">المشتريات!$A$2:$P$103</definedName>
    <definedName name="_xlnm._FilterDatabase" localSheetId="1" hidden="1">'فبراير 2026'!$A$2:$M$168</definedName>
    <definedName name="_xlnm._FilterDatabase" localSheetId="2" hidden="1">'مارس 2026'!$B$2:$M$170</definedName>
    <definedName name="_xlnm._FilterDatabase" localSheetId="0" hidden="1">'يناير 2026'!$A$2:$M$159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9" l="1"/>
  <c r="J104" i="4" l="1"/>
  <c r="I44" i="9" l="1"/>
  <c r="J44" i="9" s="1"/>
  <c r="K44" i="9" l="1"/>
  <c r="K78" i="4" l="1"/>
  <c r="K79" i="4"/>
  <c r="L79" i="4" s="1"/>
  <c r="K80" i="4"/>
  <c r="K81" i="4"/>
  <c r="L81" i="4" s="1"/>
  <c r="K82" i="4"/>
  <c r="K83" i="4"/>
  <c r="K84" i="4"/>
  <c r="L84" i="4" s="1"/>
  <c r="M84" i="4" s="1"/>
  <c r="L85" i="4"/>
  <c r="M85" i="4" s="1"/>
  <c r="K86" i="4"/>
  <c r="L86" i="4" s="1"/>
  <c r="M86" i="4" s="1"/>
  <c r="K87" i="4"/>
  <c r="L87" i="4" s="1"/>
  <c r="M87" i="4" s="1"/>
  <c r="K88" i="4"/>
  <c r="K89" i="4"/>
  <c r="K90" i="4"/>
  <c r="K91" i="4"/>
  <c r="K92" i="4"/>
  <c r="K93" i="4"/>
  <c r="K94" i="4"/>
  <c r="K95" i="4"/>
  <c r="K96" i="4"/>
  <c r="L96" i="4" s="1"/>
  <c r="M96" i="4" s="1"/>
  <c r="K97" i="4"/>
  <c r="L97" i="4" s="1"/>
  <c r="M97" i="4" s="1"/>
  <c r="K98" i="4"/>
  <c r="L98" i="4" s="1"/>
  <c r="M98" i="4" s="1"/>
  <c r="K99" i="4"/>
  <c r="L99" i="4" s="1"/>
  <c r="M99" i="4" s="1"/>
  <c r="K100" i="4"/>
  <c r="K101" i="4"/>
  <c r="K102" i="4"/>
  <c r="K103" i="4"/>
  <c r="L82" i="4" l="1"/>
  <c r="M82" i="4" s="1"/>
  <c r="M81" i="4"/>
  <c r="M79" i="4"/>
  <c r="L95" i="4"/>
  <c r="M95" i="4" s="1"/>
  <c r="L83" i="4"/>
  <c r="M83" i="4" s="1"/>
  <c r="L94" i="4"/>
  <c r="M94" i="4" s="1"/>
  <c r="L93" i="4"/>
  <c r="M93" i="4" s="1"/>
  <c r="L92" i="4"/>
  <c r="M92" i="4" s="1"/>
  <c r="L80" i="4"/>
  <c r="M80" i="4" s="1"/>
  <c r="L103" i="4"/>
  <c r="M103" i="4" s="1"/>
  <c r="L91" i="4"/>
  <c r="M91" i="4" s="1"/>
  <c r="L102" i="4"/>
  <c r="M102" i="4" s="1"/>
  <c r="L90" i="4"/>
  <c r="M90" i="4" s="1"/>
  <c r="L78" i="4"/>
  <c r="M78" i="4" s="1"/>
  <c r="L101" i="4"/>
  <c r="M101" i="4" s="1"/>
  <c r="L89" i="4"/>
  <c r="M89" i="4" s="1"/>
  <c r="L100" i="4"/>
  <c r="M100" i="4" s="1"/>
  <c r="L88" i="4"/>
  <c r="M88" i="4" s="1"/>
  <c r="I70" i="4" l="1"/>
  <c r="I69" i="4"/>
  <c r="I34" i="9" l="1"/>
  <c r="J34" i="9" l="1"/>
  <c r="K34" i="9" s="1"/>
  <c r="I9" i="9" l="1"/>
  <c r="J9" i="9" s="1"/>
  <c r="K9" i="9" s="1"/>
  <c r="K57" i="4" l="1"/>
  <c r="L57" i="4" s="1"/>
  <c r="M57" i="4" s="1"/>
  <c r="H171" i="9" l="1"/>
  <c r="F171" i="9"/>
  <c r="I170" i="9"/>
  <c r="J170" i="9" s="1"/>
  <c r="K170" i="9" s="1"/>
  <c r="I169" i="9"/>
  <c r="I168" i="9"/>
  <c r="J168" i="9" s="1"/>
  <c r="I167" i="9"/>
  <c r="J167" i="9" s="1"/>
  <c r="K167" i="9" s="1"/>
  <c r="I166" i="9"/>
  <c r="J166" i="9" s="1"/>
  <c r="K166" i="9" s="1"/>
  <c r="I165" i="9"/>
  <c r="I164" i="9"/>
  <c r="J164" i="9" s="1"/>
  <c r="I163" i="9"/>
  <c r="J163" i="9" s="1"/>
  <c r="K163" i="9" s="1"/>
  <c r="I162" i="9"/>
  <c r="J162" i="9" s="1"/>
  <c r="K162" i="9" s="1"/>
  <c r="I161" i="9"/>
  <c r="I160" i="9"/>
  <c r="I159" i="9"/>
  <c r="J159" i="9" s="1"/>
  <c r="K159" i="9" s="1"/>
  <c r="I158" i="9"/>
  <c r="J158" i="9" s="1"/>
  <c r="K158" i="9" s="1"/>
  <c r="I157" i="9"/>
  <c r="I156" i="9"/>
  <c r="J156" i="9" s="1"/>
  <c r="I155" i="9"/>
  <c r="J155" i="9" s="1"/>
  <c r="K155" i="9" s="1"/>
  <c r="I154" i="9"/>
  <c r="J154" i="9" s="1"/>
  <c r="K154" i="9" s="1"/>
  <c r="I153" i="9"/>
  <c r="J153" i="9" s="1"/>
  <c r="I152" i="9"/>
  <c r="I151" i="9"/>
  <c r="J151" i="9" s="1"/>
  <c r="K151" i="9" s="1"/>
  <c r="I150" i="9"/>
  <c r="J150" i="9" s="1"/>
  <c r="K150" i="9" s="1"/>
  <c r="I149" i="9"/>
  <c r="J149" i="9" s="1"/>
  <c r="K149" i="9" s="1"/>
  <c r="I148" i="9"/>
  <c r="I147" i="9"/>
  <c r="J147" i="9" s="1"/>
  <c r="K147" i="9" s="1"/>
  <c r="I146" i="9"/>
  <c r="J146" i="9" s="1"/>
  <c r="K146" i="9" s="1"/>
  <c r="I145" i="9"/>
  <c r="J145" i="9" s="1"/>
  <c r="I144" i="9"/>
  <c r="J144" i="9" s="1"/>
  <c r="I143" i="9"/>
  <c r="J143" i="9" s="1"/>
  <c r="K143" i="9" s="1"/>
  <c r="I142" i="9"/>
  <c r="J142" i="9" s="1"/>
  <c r="K142" i="9" s="1"/>
  <c r="I141" i="9"/>
  <c r="I140" i="9"/>
  <c r="J140" i="9" s="1"/>
  <c r="I139" i="9"/>
  <c r="J139" i="9" s="1"/>
  <c r="K139" i="9" s="1"/>
  <c r="I138" i="9"/>
  <c r="J138" i="9" s="1"/>
  <c r="K138" i="9" s="1"/>
  <c r="I137" i="9"/>
  <c r="J137" i="9" s="1"/>
  <c r="I136" i="9"/>
  <c r="I135" i="9"/>
  <c r="J135" i="9" s="1"/>
  <c r="K135" i="9" s="1"/>
  <c r="I134" i="9"/>
  <c r="J134" i="9" s="1"/>
  <c r="K134" i="9" s="1"/>
  <c r="I133" i="9"/>
  <c r="J133" i="9" s="1"/>
  <c r="K133" i="9" s="1"/>
  <c r="I132" i="9"/>
  <c r="J132" i="9" s="1"/>
  <c r="I131" i="9"/>
  <c r="J131" i="9" s="1"/>
  <c r="K131" i="9" s="1"/>
  <c r="I130" i="9"/>
  <c r="J130" i="9" s="1"/>
  <c r="K130" i="9" s="1"/>
  <c r="I129" i="9"/>
  <c r="I128" i="9"/>
  <c r="J128" i="9" s="1"/>
  <c r="I127" i="9"/>
  <c r="J127" i="9" s="1"/>
  <c r="K127" i="9" s="1"/>
  <c r="I126" i="9"/>
  <c r="J126" i="9" s="1"/>
  <c r="K126" i="9" s="1"/>
  <c r="I125" i="9"/>
  <c r="J125" i="9" s="1"/>
  <c r="I124" i="9"/>
  <c r="J124" i="9" s="1"/>
  <c r="I123" i="9"/>
  <c r="J123" i="9" s="1"/>
  <c r="K123" i="9" s="1"/>
  <c r="I122" i="9"/>
  <c r="J122" i="9" s="1"/>
  <c r="K122" i="9" s="1"/>
  <c r="I121" i="9"/>
  <c r="I120" i="9"/>
  <c r="I119" i="9"/>
  <c r="J119" i="9" s="1"/>
  <c r="K119" i="9" s="1"/>
  <c r="I118" i="9"/>
  <c r="J118" i="9" s="1"/>
  <c r="K118" i="9" s="1"/>
  <c r="I117" i="9"/>
  <c r="J117" i="9" s="1"/>
  <c r="K117" i="9" s="1"/>
  <c r="I116" i="9"/>
  <c r="I115" i="9"/>
  <c r="J115" i="9" s="1"/>
  <c r="K115" i="9" s="1"/>
  <c r="I114" i="9"/>
  <c r="J114" i="9" s="1"/>
  <c r="K114" i="9" s="1"/>
  <c r="I113" i="9"/>
  <c r="J113" i="9" s="1"/>
  <c r="I112" i="9"/>
  <c r="J112" i="9" s="1"/>
  <c r="I111" i="9"/>
  <c r="J111" i="9" s="1"/>
  <c r="K111" i="9" s="1"/>
  <c r="I110" i="9"/>
  <c r="J110" i="9" s="1"/>
  <c r="K110" i="9" s="1"/>
  <c r="I109" i="9"/>
  <c r="J109" i="9" s="1"/>
  <c r="I108" i="9"/>
  <c r="I107" i="9"/>
  <c r="J107" i="9" s="1"/>
  <c r="K107" i="9" s="1"/>
  <c r="I106" i="9"/>
  <c r="J106" i="9" s="1"/>
  <c r="K106" i="9" s="1"/>
  <c r="I105" i="9"/>
  <c r="I104" i="9"/>
  <c r="I103" i="9"/>
  <c r="J103" i="9" s="1"/>
  <c r="K103" i="9" s="1"/>
  <c r="I102" i="9"/>
  <c r="J102" i="9" s="1"/>
  <c r="K102" i="9" s="1"/>
  <c r="I101" i="9"/>
  <c r="J101" i="9" s="1"/>
  <c r="K101" i="9" s="1"/>
  <c r="I100" i="9"/>
  <c r="J100" i="9" s="1"/>
  <c r="I99" i="9"/>
  <c r="J99" i="9" s="1"/>
  <c r="K99" i="9" s="1"/>
  <c r="I98" i="9"/>
  <c r="J98" i="9" s="1"/>
  <c r="K98" i="9" s="1"/>
  <c r="I97" i="9"/>
  <c r="I96" i="9"/>
  <c r="J96" i="9" s="1"/>
  <c r="I95" i="9"/>
  <c r="J95" i="9" s="1"/>
  <c r="K95" i="9" s="1"/>
  <c r="I94" i="9"/>
  <c r="J94" i="9" s="1"/>
  <c r="K94" i="9" s="1"/>
  <c r="I93" i="9"/>
  <c r="J93" i="9" s="1"/>
  <c r="I92" i="9"/>
  <c r="J92" i="9" s="1"/>
  <c r="I91" i="9"/>
  <c r="J91" i="9" s="1"/>
  <c r="K91" i="9" s="1"/>
  <c r="I90" i="9"/>
  <c r="J90" i="9" s="1"/>
  <c r="K90" i="9" s="1"/>
  <c r="I89" i="9"/>
  <c r="I88" i="9"/>
  <c r="J88" i="9" s="1"/>
  <c r="I87" i="9"/>
  <c r="J87" i="9" s="1"/>
  <c r="K87" i="9" s="1"/>
  <c r="I86" i="9"/>
  <c r="J86" i="9" s="1"/>
  <c r="K86" i="9" s="1"/>
  <c r="I85" i="9"/>
  <c r="J85" i="9" s="1"/>
  <c r="K85" i="9" s="1"/>
  <c r="I84" i="9"/>
  <c r="J84" i="9" s="1"/>
  <c r="I83" i="9"/>
  <c r="J83" i="9" s="1"/>
  <c r="K83" i="9" s="1"/>
  <c r="I82" i="9"/>
  <c r="J82" i="9" s="1"/>
  <c r="K82" i="9" s="1"/>
  <c r="I81" i="9"/>
  <c r="J81" i="9" s="1"/>
  <c r="I80" i="9"/>
  <c r="J80" i="9" s="1"/>
  <c r="I79" i="9"/>
  <c r="J79" i="9" s="1"/>
  <c r="K79" i="9" s="1"/>
  <c r="I78" i="9"/>
  <c r="J78" i="9" s="1"/>
  <c r="K78" i="9" s="1"/>
  <c r="I77" i="9"/>
  <c r="I76" i="9"/>
  <c r="J75" i="9"/>
  <c r="K75" i="9" s="1"/>
  <c r="I74" i="9"/>
  <c r="J74" i="9" s="1"/>
  <c r="K74" i="9" s="1"/>
  <c r="I73" i="9"/>
  <c r="J73" i="9" s="1"/>
  <c r="I72" i="9"/>
  <c r="I71" i="9"/>
  <c r="J71" i="9" s="1"/>
  <c r="K71" i="9" s="1"/>
  <c r="I70" i="9"/>
  <c r="J70" i="9" s="1"/>
  <c r="K70" i="9" s="1"/>
  <c r="I69" i="9"/>
  <c r="J69" i="9" s="1"/>
  <c r="K69" i="9" s="1"/>
  <c r="I68" i="9"/>
  <c r="I67" i="9"/>
  <c r="J67" i="9" s="1"/>
  <c r="K67" i="9" s="1"/>
  <c r="I66" i="9"/>
  <c r="J66" i="9" s="1"/>
  <c r="I65" i="9"/>
  <c r="J65" i="9" s="1"/>
  <c r="I64" i="9"/>
  <c r="J64" i="9" s="1"/>
  <c r="I63" i="9"/>
  <c r="J63" i="9" s="1"/>
  <c r="K63" i="9" s="1"/>
  <c r="I62" i="9"/>
  <c r="J62" i="9" s="1"/>
  <c r="K62" i="9" s="1"/>
  <c r="I61" i="9"/>
  <c r="I60" i="9"/>
  <c r="I59" i="9"/>
  <c r="J59" i="9" s="1"/>
  <c r="K59" i="9" s="1"/>
  <c r="I58" i="9"/>
  <c r="J58" i="9" s="1"/>
  <c r="K58" i="9" s="1"/>
  <c r="I57" i="9"/>
  <c r="J57" i="9" s="1"/>
  <c r="I56" i="9"/>
  <c r="J56" i="9" s="1"/>
  <c r="I55" i="9"/>
  <c r="J55" i="9" s="1"/>
  <c r="K55" i="9" s="1"/>
  <c r="I54" i="9"/>
  <c r="J54" i="9" s="1"/>
  <c r="K54" i="9" s="1"/>
  <c r="I53" i="9"/>
  <c r="J53" i="9" s="1"/>
  <c r="K53" i="9" s="1"/>
  <c r="I52" i="9"/>
  <c r="I51" i="9"/>
  <c r="J51" i="9" s="1"/>
  <c r="K51" i="9" s="1"/>
  <c r="I50" i="9"/>
  <c r="J50" i="9" s="1"/>
  <c r="K50" i="9" s="1"/>
  <c r="I49" i="9"/>
  <c r="J49" i="9" s="1"/>
  <c r="I48" i="9"/>
  <c r="J48" i="9" s="1"/>
  <c r="I47" i="9"/>
  <c r="J47" i="9" s="1"/>
  <c r="K47" i="9" s="1"/>
  <c r="I46" i="9"/>
  <c r="J46" i="9" s="1"/>
  <c r="K46" i="9" s="1"/>
  <c r="I45" i="9"/>
  <c r="J45" i="9" s="1"/>
  <c r="I43" i="9"/>
  <c r="I42" i="9"/>
  <c r="J42" i="9" s="1"/>
  <c r="K42" i="9" s="1"/>
  <c r="I41" i="9"/>
  <c r="J41" i="9" s="1"/>
  <c r="K41" i="9" s="1"/>
  <c r="I40" i="9"/>
  <c r="I39" i="9"/>
  <c r="I38" i="9"/>
  <c r="J38" i="9" s="1"/>
  <c r="K38" i="9" s="1"/>
  <c r="I37" i="9"/>
  <c r="J37" i="9" s="1"/>
  <c r="K37" i="9" s="1"/>
  <c r="I36" i="9"/>
  <c r="J36" i="9" s="1"/>
  <c r="K36" i="9" s="1"/>
  <c r="I35" i="9"/>
  <c r="J35" i="9" s="1"/>
  <c r="I33" i="9"/>
  <c r="J33" i="9" s="1"/>
  <c r="K33" i="9" s="1"/>
  <c r="I32" i="9"/>
  <c r="J32" i="9" s="1"/>
  <c r="K32" i="9" s="1"/>
  <c r="I31" i="9"/>
  <c r="I30" i="9"/>
  <c r="J30" i="9" s="1"/>
  <c r="I29" i="9"/>
  <c r="J29" i="9" s="1"/>
  <c r="K29" i="9" s="1"/>
  <c r="I28" i="9"/>
  <c r="J28" i="9" s="1"/>
  <c r="K28" i="9" s="1"/>
  <c r="I27" i="9"/>
  <c r="J27" i="9" s="1"/>
  <c r="I26" i="9"/>
  <c r="J26" i="9" s="1"/>
  <c r="I25" i="9"/>
  <c r="J25" i="9" s="1"/>
  <c r="K25" i="9" s="1"/>
  <c r="I24" i="9"/>
  <c r="J24" i="9" s="1"/>
  <c r="K24" i="9" s="1"/>
  <c r="I23" i="9"/>
  <c r="J23" i="9" s="1"/>
  <c r="I22" i="9"/>
  <c r="J22" i="9" s="1"/>
  <c r="I21" i="9"/>
  <c r="J21" i="9" s="1"/>
  <c r="K21" i="9" s="1"/>
  <c r="I20" i="9"/>
  <c r="J20" i="9" s="1"/>
  <c r="K20" i="9" s="1"/>
  <c r="I19" i="9"/>
  <c r="I18" i="9"/>
  <c r="J18" i="9" s="1"/>
  <c r="K18" i="9" s="1"/>
  <c r="I17" i="9"/>
  <c r="J17" i="9" s="1"/>
  <c r="K17" i="9" s="1"/>
  <c r="I16" i="9"/>
  <c r="I15" i="9"/>
  <c r="J15" i="9" s="1"/>
  <c r="I14" i="9"/>
  <c r="J14" i="9" s="1"/>
  <c r="K14" i="9" s="1"/>
  <c r="I13" i="9"/>
  <c r="J13" i="9" s="1"/>
  <c r="K13" i="9" s="1"/>
  <c r="I12" i="9"/>
  <c r="J12" i="9" s="1"/>
  <c r="I11" i="9"/>
  <c r="J11" i="9" s="1"/>
  <c r="I10" i="9"/>
  <c r="J10" i="9" s="1"/>
  <c r="K10" i="9" s="1"/>
  <c r="I8" i="9"/>
  <c r="J8" i="9" s="1"/>
  <c r="K8" i="9" s="1"/>
  <c r="I7" i="9"/>
  <c r="I6" i="9"/>
  <c r="I5" i="9"/>
  <c r="I4" i="9"/>
  <c r="J4" i="9" s="1"/>
  <c r="I3" i="9"/>
  <c r="J3" i="9" s="1"/>
  <c r="K3" i="9" s="1"/>
  <c r="I134" i="7"/>
  <c r="J134" i="7" s="1"/>
  <c r="J161" i="9" l="1"/>
  <c r="K161" i="9" s="1"/>
  <c r="K168" i="9"/>
  <c r="J169" i="9"/>
  <c r="K169" i="9" s="1"/>
  <c r="K164" i="9"/>
  <c r="J165" i="9"/>
  <c r="K165" i="9" s="1"/>
  <c r="J160" i="9"/>
  <c r="K160" i="9" s="1"/>
  <c r="I171" i="9"/>
  <c r="K81" i="9"/>
  <c r="K26" i="9"/>
  <c r="J129" i="9"/>
  <c r="K129" i="9" s="1"/>
  <c r="K65" i="9"/>
  <c r="K145" i="9"/>
  <c r="J5" i="9"/>
  <c r="K5" i="9" s="1"/>
  <c r="K12" i="9"/>
  <c r="J39" i="9"/>
  <c r="K39" i="9" s="1"/>
  <c r="J72" i="9"/>
  <c r="K72" i="9" s="1"/>
  <c r="K93" i="9"/>
  <c r="K125" i="9"/>
  <c r="J40" i="9"/>
  <c r="K40" i="9" s="1"/>
  <c r="K11" i="9"/>
  <c r="K156" i="9"/>
  <c r="K49" i="9"/>
  <c r="J76" i="9"/>
  <c r="K76" i="9" s="1"/>
  <c r="J108" i="9"/>
  <c r="K108" i="9" s="1"/>
  <c r="K45" i="9"/>
  <c r="K109" i="9"/>
  <c r="J152" i="9"/>
  <c r="K152" i="9" s="1"/>
  <c r="J89" i="9"/>
  <c r="K89" i="9" s="1"/>
  <c r="J105" i="9"/>
  <c r="K105" i="9" s="1"/>
  <c r="J121" i="9"/>
  <c r="K121" i="9" s="1"/>
  <c r="J52" i="9"/>
  <c r="K52" i="9" s="1"/>
  <c r="K57" i="9"/>
  <c r="J68" i="9"/>
  <c r="K68" i="9" s="1"/>
  <c r="K73" i="9"/>
  <c r="J116" i="9"/>
  <c r="K116" i="9" s="1"/>
  <c r="K137" i="9"/>
  <c r="J148" i="9"/>
  <c r="K148" i="9" s="1"/>
  <c r="K153" i="9"/>
  <c r="J16" i="9"/>
  <c r="K16" i="9" s="1"/>
  <c r="J31" i="9"/>
  <c r="K31" i="9" s="1"/>
  <c r="J97" i="9"/>
  <c r="K97" i="9" s="1"/>
  <c r="K124" i="9"/>
  <c r="J43" i="9"/>
  <c r="K43" i="9" s="1"/>
  <c r="K113" i="9"/>
  <c r="K22" i="9"/>
  <c r="J61" i="9"/>
  <c r="K61" i="9" s="1"/>
  <c r="J77" i="9"/>
  <c r="K77" i="9" s="1"/>
  <c r="J157" i="9"/>
  <c r="K157" i="9" s="1"/>
  <c r="J6" i="9"/>
  <c r="K6" i="9" s="1"/>
  <c r="K27" i="9"/>
  <c r="J136" i="9"/>
  <c r="K136" i="9" s="1"/>
  <c r="J7" i="9"/>
  <c r="K7" i="9" s="1"/>
  <c r="K35" i="9"/>
  <c r="K84" i="9"/>
  <c r="K23" i="9"/>
  <c r="K92" i="9"/>
  <c r="K140" i="9"/>
  <c r="J60" i="9"/>
  <c r="K60" i="9" s="1"/>
  <c r="K56" i="9"/>
  <c r="K88" i="9"/>
  <c r="J141" i="9"/>
  <c r="K141" i="9" s="1"/>
  <c r="J104" i="9"/>
  <c r="K104" i="9" s="1"/>
  <c r="J120" i="9"/>
  <c r="K120" i="9" s="1"/>
  <c r="K100" i="9"/>
  <c r="K132" i="9"/>
  <c r="J19" i="9"/>
  <c r="K19" i="9" s="1"/>
  <c r="K15" i="9"/>
  <c r="K30" i="9"/>
  <c r="K48" i="9"/>
  <c r="K64" i="9"/>
  <c r="K80" i="9"/>
  <c r="K96" i="9"/>
  <c r="K112" i="9"/>
  <c r="K128" i="9"/>
  <c r="K144" i="9"/>
  <c r="K4" i="9"/>
  <c r="K134" i="7"/>
  <c r="K171" i="9" l="1"/>
  <c r="J171" i="9"/>
  <c r="I122" i="7" l="1"/>
  <c r="J122" i="7" s="1"/>
  <c r="I121" i="7"/>
  <c r="J121" i="7" s="1"/>
  <c r="I102" i="7"/>
  <c r="J102" i="7" s="1"/>
  <c r="K102" i="7" s="1"/>
  <c r="K121" i="7" l="1"/>
  <c r="K122" i="7"/>
  <c r="I54" i="7" l="1"/>
  <c r="I55" i="7"/>
  <c r="I56" i="7"/>
  <c r="J56" i="7" s="1"/>
  <c r="K56" i="7" l="1"/>
  <c r="J55" i="7"/>
  <c r="K55" i="7" s="1"/>
  <c r="J54" i="7"/>
  <c r="K54" i="7" s="1"/>
  <c r="I80" i="7" l="1"/>
  <c r="J80" i="7" s="1"/>
  <c r="K80" i="7" s="1"/>
  <c r="I61" i="7" l="1"/>
  <c r="J61" i="7" s="1"/>
  <c r="I50" i="7"/>
  <c r="J50" i="7" s="1"/>
  <c r="K61" i="7" l="1"/>
  <c r="K50" i="7"/>
  <c r="I40" i="7" l="1"/>
  <c r="J40" i="7" s="1"/>
  <c r="K40" i="7" s="1"/>
  <c r="I32" i="7" l="1"/>
  <c r="J32" i="7" s="1"/>
  <c r="K32" i="7" s="1"/>
  <c r="H169" i="7" l="1"/>
  <c r="F169" i="7"/>
  <c r="I168" i="7"/>
  <c r="I167" i="7"/>
  <c r="I166" i="7"/>
  <c r="J166" i="7" s="1"/>
  <c r="I165" i="7"/>
  <c r="I164" i="7"/>
  <c r="J164" i="7" s="1"/>
  <c r="K164" i="7" s="1"/>
  <c r="I163" i="7"/>
  <c r="I162" i="7"/>
  <c r="J162" i="7" s="1"/>
  <c r="K162" i="7" s="1"/>
  <c r="I161" i="7"/>
  <c r="I160" i="7"/>
  <c r="I159" i="7"/>
  <c r="J159" i="7" s="1"/>
  <c r="K159" i="7" s="1"/>
  <c r="I158" i="7"/>
  <c r="J158" i="7" s="1"/>
  <c r="K158" i="7" s="1"/>
  <c r="I157" i="7"/>
  <c r="I156" i="7"/>
  <c r="I155" i="7"/>
  <c r="I154" i="7"/>
  <c r="J154" i="7" s="1"/>
  <c r="I153" i="7"/>
  <c r="I152" i="7"/>
  <c r="I151" i="7"/>
  <c r="I150" i="7"/>
  <c r="J150" i="7" s="1"/>
  <c r="K150" i="7" s="1"/>
  <c r="I149" i="7"/>
  <c r="I148" i="7"/>
  <c r="I147" i="7"/>
  <c r="I146" i="7"/>
  <c r="J146" i="7" s="1"/>
  <c r="K146" i="7" s="1"/>
  <c r="I145" i="7"/>
  <c r="J145" i="7" s="1"/>
  <c r="I144" i="7"/>
  <c r="J144" i="7" s="1"/>
  <c r="K144" i="7" s="1"/>
  <c r="I143" i="7"/>
  <c r="I142" i="7"/>
  <c r="J142" i="7" s="1"/>
  <c r="K142" i="7" s="1"/>
  <c r="I141" i="7"/>
  <c r="I140" i="7"/>
  <c r="I139" i="7"/>
  <c r="J139" i="7" s="1"/>
  <c r="K139" i="7" s="1"/>
  <c r="I138" i="7"/>
  <c r="J138" i="7" s="1"/>
  <c r="K138" i="7" s="1"/>
  <c r="I137" i="7"/>
  <c r="I136" i="7"/>
  <c r="I135" i="7"/>
  <c r="I133" i="7"/>
  <c r="J133" i="7" s="1"/>
  <c r="K133" i="7" s="1"/>
  <c r="I132" i="7"/>
  <c r="I131" i="7"/>
  <c r="I130" i="7"/>
  <c r="I129" i="7"/>
  <c r="J129" i="7" s="1"/>
  <c r="I128" i="7"/>
  <c r="I127" i="7"/>
  <c r="I126" i="7"/>
  <c r="I125" i="7"/>
  <c r="J125" i="7" s="1"/>
  <c r="K125" i="7" s="1"/>
  <c r="I124" i="7"/>
  <c r="I123" i="7"/>
  <c r="I120" i="7"/>
  <c r="I119" i="7"/>
  <c r="J119" i="7" s="1"/>
  <c r="K119" i="7" s="1"/>
  <c r="I118" i="7"/>
  <c r="J118" i="7" s="1"/>
  <c r="I117" i="7"/>
  <c r="J117" i="7" s="1"/>
  <c r="K117" i="7" s="1"/>
  <c r="I116" i="7"/>
  <c r="I115" i="7"/>
  <c r="J115" i="7" s="1"/>
  <c r="K115" i="7" s="1"/>
  <c r="I114" i="7"/>
  <c r="I113" i="7"/>
  <c r="I112" i="7"/>
  <c r="J112" i="7" s="1"/>
  <c r="K112" i="7" s="1"/>
  <c r="I111" i="7"/>
  <c r="J111" i="7" s="1"/>
  <c r="K111" i="7" s="1"/>
  <c r="I110" i="7"/>
  <c r="I109" i="7"/>
  <c r="I108" i="7"/>
  <c r="I107" i="7"/>
  <c r="J107" i="7" s="1"/>
  <c r="K107" i="7" s="1"/>
  <c r="I106" i="7"/>
  <c r="I105" i="7"/>
  <c r="I104" i="7"/>
  <c r="I103" i="7"/>
  <c r="J103" i="7" s="1"/>
  <c r="I101" i="7"/>
  <c r="I100" i="7"/>
  <c r="I99" i="7"/>
  <c r="I98" i="7"/>
  <c r="J98" i="7" s="1"/>
  <c r="K98" i="7" s="1"/>
  <c r="I97" i="7"/>
  <c r="J97" i="7" s="1"/>
  <c r="I96" i="7"/>
  <c r="I95" i="7"/>
  <c r="I94" i="7"/>
  <c r="J94" i="7" s="1"/>
  <c r="K94" i="7" s="1"/>
  <c r="I93" i="7"/>
  <c r="J93" i="7" s="1"/>
  <c r="I92" i="7"/>
  <c r="J92" i="7" s="1"/>
  <c r="K92" i="7" s="1"/>
  <c r="I91" i="7"/>
  <c r="I90" i="7"/>
  <c r="J90" i="7" s="1"/>
  <c r="K90" i="7" s="1"/>
  <c r="I89" i="7"/>
  <c r="I88" i="7"/>
  <c r="I87" i="7"/>
  <c r="J87" i="7" s="1"/>
  <c r="K87" i="7" s="1"/>
  <c r="I86" i="7"/>
  <c r="J86" i="7" s="1"/>
  <c r="K86" i="7" s="1"/>
  <c r="I85" i="7"/>
  <c r="I84" i="7"/>
  <c r="I83" i="7"/>
  <c r="I82" i="7"/>
  <c r="J82" i="7" s="1"/>
  <c r="K82" i="7" s="1"/>
  <c r="I81" i="7"/>
  <c r="I79" i="7"/>
  <c r="I78" i="7"/>
  <c r="I77" i="7"/>
  <c r="J77" i="7" s="1"/>
  <c r="K77" i="7" s="1"/>
  <c r="I76" i="7"/>
  <c r="I75" i="7"/>
  <c r="I74" i="7"/>
  <c r="I73" i="7"/>
  <c r="J73" i="7" s="1"/>
  <c r="K73" i="7" s="1"/>
  <c r="I72" i="7"/>
  <c r="I71" i="7"/>
  <c r="I70" i="7"/>
  <c r="I69" i="7"/>
  <c r="J69" i="7" s="1"/>
  <c r="K69" i="7" s="1"/>
  <c r="I68" i="7"/>
  <c r="I67" i="7"/>
  <c r="J67" i="7" s="1"/>
  <c r="K67" i="7" s="1"/>
  <c r="I66" i="7"/>
  <c r="I65" i="7"/>
  <c r="J65" i="7" s="1"/>
  <c r="K65" i="7" s="1"/>
  <c r="I64" i="7"/>
  <c r="I63" i="7"/>
  <c r="I62" i="7"/>
  <c r="J62" i="7" s="1"/>
  <c r="I60" i="7"/>
  <c r="J60" i="7" s="1"/>
  <c r="K60" i="7" s="1"/>
  <c r="I59" i="7"/>
  <c r="I58" i="7"/>
  <c r="I57" i="7"/>
  <c r="I53" i="7"/>
  <c r="I52" i="7"/>
  <c r="I51" i="7"/>
  <c r="J51" i="7" s="1"/>
  <c r="K51" i="7" s="1"/>
  <c r="I49" i="7"/>
  <c r="I48" i="7"/>
  <c r="I47" i="7"/>
  <c r="I46" i="7"/>
  <c r="J46" i="7" s="1"/>
  <c r="K46" i="7" s="1"/>
  <c r="I45" i="7"/>
  <c r="I44" i="7"/>
  <c r="I43" i="7"/>
  <c r="I42" i="7"/>
  <c r="J42" i="7" s="1"/>
  <c r="K42" i="7" s="1"/>
  <c r="I41" i="7"/>
  <c r="I39" i="7"/>
  <c r="J39" i="7" s="1"/>
  <c r="K39" i="7" s="1"/>
  <c r="I38" i="7"/>
  <c r="I37" i="7"/>
  <c r="J37" i="7" s="1"/>
  <c r="K37" i="7" s="1"/>
  <c r="I36" i="7"/>
  <c r="I35" i="7"/>
  <c r="J35" i="7" s="1"/>
  <c r="K35" i="7" s="1"/>
  <c r="I34" i="7"/>
  <c r="J34" i="7" s="1"/>
  <c r="K34" i="7" s="1"/>
  <c r="I33" i="7"/>
  <c r="I31" i="7"/>
  <c r="I30" i="7"/>
  <c r="I29" i="7"/>
  <c r="J29" i="7" s="1"/>
  <c r="K29" i="7" s="1"/>
  <c r="I28" i="7"/>
  <c r="I27" i="7"/>
  <c r="I26" i="7"/>
  <c r="I25" i="7"/>
  <c r="J25" i="7" s="1"/>
  <c r="K25" i="7" s="1"/>
  <c r="I24" i="7"/>
  <c r="I23" i="7"/>
  <c r="I22" i="7"/>
  <c r="I21" i="7"/>
  <c r="J21" i="7" s="1"/>
  <c r="K21" i="7" s="1"/>
  <c r="I20" i="7"/>
  <c r="J20" i="7" s="1"/>
  <c r="I19" i="7"/>
  <c r="I18" i="7"/>
  <c r="I17" i="7"/>
  <c r="J17" i="7" s="1"/>
  <c r="K17" i="7" s="1"/>
  <c r="I16" i="7"/>
  <c r="I15" i="7"/>
  <c r="J15" i="7" s="1"/>
  <c r="K15" i="7" s="1"/>
  <c r="I14" i="7"/>
  <c r="I13" i="7"/>
  <c r="J13" i="7" s="1"/>
  <c r="K13" i="7" s="1"/>
  <c r="I12" i="7"/>
  <c r="I11" i="7"/>
  <c r="I10" i="7"/>
  <c r="J10" i="7" s="1"/>
  <c r="K10" i="7" s="1"/>
  <c r="I9" i="7"/>
  <c r="J9" i="7" s="1"/>
  <c r="K9" i="7" s="1"/>
  <c r="I8" i="7"/>
  <c r="I7" i="7"/>
  <c r="I6" i="7"/>
  <c r="I5" i="7"/>
  <c r="J5" i="7" s="1"/>
  <c r="K5" i="7" s="1"/>
  <c r="I4" i="7"/>
  <c r="I3" i="7"/>
  <c r="K129" i="7" l="1"/>
  <c r="K154" i="7"/>
  <c r="K166" i="7"/>
  <c r="K103" i="7"/>
  <c r="K62" i="7"/>
  <c r="J6" i="7"/>
  <c r="K6" i="7" s="1"/>
  <c r="J36" i="7"/>
  <c r="K36" i="7" s="1"/>
  <c r="J63" i="7"/>
  <c r="K63" i="7" s="1"/>
  <c r="J155" i="7"/>
  <c r="K155" i="7" s="1"/>
  <c r="J30" i="7"/>
  <c r="K30" i="7" s="1"/>
  <c r="J88" i="7"/>
  <c r="K88" i="7" s="1"/>
  <c r="J140" i="7"/>
  <c r="K140" i="7" s="1"/>
  <c r="J7" i="7"/>
  <c r="K7" i="7" s="1"/>
  <c r="J47" i="7"/>
  <c r="K47" i="7" s="1"/>
  <c r="J149" i="7"/>
  <c r="K149" i="7" s="1"/>
  <c r="J12" i="7"/>
  <c r="K12" i="7" s="1"/>
  <c r="J78" i="7"/>
  <c r="K78" i="7" s="1"/>
  <c r="J45" i="7"/>
  <c r="K45" i="7" s="1"/>
  <c r="J104" i="7"/>
  <c r="K104" i="7" s="1"/>
  <c r="J130" i="7"/>
  <c r="K130" i="7" s="1"/>
  <c r="J22" i="7"/>
  <c r="K22" i="7" s="1"/>
  <c r="J113" i="7"/>
  <c r="K113" i="7" s="1"/>
  <c r="J64" i="7"/>
  <c r="K64" i="7" s="1"/>
  <c r="J72" i="7"/>
  <c r="K72" i="7" s="1"/>
  <c r="K97" i="7"/>
  <c r="J57" i="7"/>
  <c r="K57" i="7" s="1"/>
  <c r="J124" i="7"/>
  <c r="K124" i="7" s="1"/>
  <c r="J165" i="7"/>
  <c r="K165" i="7" s="1"/>
  <c r="J31" i="7"/>
  <c r="K31" i="7" s="1"/>
  <c r="J16" i="7"/>
  <c r="K16" i="7" s="1"/>
  <c r="J74" i="7"/>
  <c r="K74" i="7" s="1"/>
  <c r="J83" i="7"/>
  <c r="K83" i="7" s="1"/>
  <c r="J108" i="7"/>
  <c r="K108" i="7" s="1"/>
  <c r="J135" i="7"/>
  <c r="K135" i="7" s="1"/>
  <c r="J58" i="7"/>
  <c r="K58" i="7" s="1"/>
  <c r="J26" i="7"/>
  <c r="K26" i="7" s="1"/>
  <c r="J41" i="7"/>
  <c r="K41" i="7" s="1"/>
  <c r="J84" i="7"/>
  <c r="K84" i="7" s="1"/>
  <c r="J109" i="7"/>
  <c r="K109" i="7" s="1"/>
  <c r="J136" i="7"/>
  <c r="K136" i="7" s="1"/>
  <c r="J11" i="7"/>
  <c r="K11" i="7" s="1"/>
  <c r="J160" i="7"/>
  <c r="K160" i="7" s="1"/>
  <c r="K20" i="7"/>
  <c r="J68" i="7"/>
  <c r="K68" i="7" s="1"/>
  <c r="K93" i="7"/>
  <c r="K118" i="7"/>
  <c r="K145" i="7"/>
  <c r="J161" i="7"/>
  <c r="K161" i="7" s="1"/>
  <c r="I169" i="7"/>
  <c r="J89" i="7"/>
  <c r="K89" i="7" s="1"/>
  <c r="J99" i="7"/>
  <c r="K99" i="7" s="1"/>
  <c r="J114" i="7"/>
  <c r="K114" i="7" s="1"/>
  <c r="J126" i="7"/>
  <c r="K126" i="7" s="1"/>
  <c r="J141" i="7"/>
  <c r="K141" i="7" s="1"/>
  <c r="J151" i="7"/>
  <c r="K151" i="7" s="1"/>
  <c r="J156" i="7"/>
  <c r="K156" i="7" s="1"/>
  <c r="J167" i="7"/>
  <c r="K167" i="7" s="1"/>
  <c r="J3" i="7"/>
  <c r="J27" i="7"/>
  <c r="K27" i="7" s="1"/>
  <c r="J52" i="7"/>
  <c r="K52" i="7" s="1"/>
  <c r="J79" i="7"/>
  <c r="K79" i="7" s="1"/>
  <c r="J105" i="7"/>
  <c r="K105" i="7" s="1"/>
  <c r="J131" i="7"/>
  <c r="K131" i="7" s="1"/>
  <c r="J8" i="7"/>
  <c r="K8" i="7" s="1"/>
  <c r="J18" i="7"/>
  <c r="K18" i="7" s="1"/>
  <c r="J33" i="7"/>
  <c r="K33" i="7" s="1"/>
  <c r="J43" i="7"/>
  <c r="K43" i="7" s="1"/>
  <c r="J59" i="7"/>
  <c r="K59" i="7" s="1"/>
  <c r="J70" i="7"/>
  <c r="K70" i="7" s="1"/>
  <c r="J85" i="7"/>
  <c r="K85" i="7" s="1"/>
  <c r="J95" i="7"/>
  <c r="K95" i="7" s="1"/>
  <c r="J110" i="7"/>
  <c r="K110" i="7" s="1"/>
  <c r="J120" i="7"/>
  <c r="K120" i="7" s="1"/>
  <c r="J137" i="7"/>
  <c r="K137" i="7" s="1"/>
  <c r="J147" i="7"/>
  <c r="K147" i="7" s="1"/>
  <c r="J157" i="7"/>
  <c r="K157" i="7" s="1"/>
  <c r="J23" i="7"/>
  <c r="K23" i="7" s="1"/>
  <c r="J48" i="7"/>
  <c r="K48" i="7" s="1"/>
  <c r="J75" i="7"/>
  <c r="K75" i="7" s="1"/>
  <c r="J100" i="7"/>
  <c r="K100" i="7" s="1"/>
  <c r="J127" i="7"/>
  <c r="K127" i="7" s="1"/>
  <c r="J152" i="7"/>
  <c r="K152" i="7" s="1"/>
  <c r="J163" i="7"/>
  <c r="K163" i="7" s="1"/>
  <c r="J168" i="7"/>
  <c r="K168" i="7" s="1"/>
  <c r="J4" i="7"/>
  <c r="K4" i="7" s="1"/>
  <c r="J14" i="7"/>
  <c r="K14" i="7" s="1"/>
  <c r="J28" i="7"/>
  <c r="K28" i="7" s="1"/>
  <c r="J38" i="7"/>
  <c r="K38" i="7" s="1"/>
  <c r="J53" i="7"/>
  <c r="K53" i="7" s="1"/>
  <c r="J66" i="7"/>
  <c r="K66" i="7" s="1"/>
  <c r="J81" i="7"/>
  <c r="K81" i="7" s="1"/>
  <c r="J91" i="7"/>
  <c r="K91" i="7" s="1"/>
  <c r="J106" i="7"/>
  <c r="K106" i="7" s="1"/>
  <c r="J116" i="7"/>
  <c r="K116" i="7" s="1"/>
  <c r="J132" i="7"/>
  <c r="K132" i="7" s="1"/>
  <c r="J143" i="7"/>
  <c r="K143" i="7" s="1"/>
  <c r="J19" i="7"/>
  <c r="K19" i="7" s="1"/>
  <c r="J44" i="7"/>
  <c r="K44" i="7" s="1"/>
  <c r="J71" i="7"/>
  <c r="K71" i="7" s="1"/>
  <c r="J96" i="7"/>
  <c r="K96" i="7" s="1"/>
  <c r="J123" i="7"/>
  <c r="K123" i="7" s="1"/>
  <c r="J148" i="7"/>
  <c r="K148" i="7" s="1"/>
  <c r="J153" i="7"/>
  <c r="K153" i="7" s="1"/>
  <c r="J24" i="7"/>
  <c r="K24" i="7" s="1"/>
  <c r="J49" i="7"/>
  <c r="K49" i="7" s="1"/>
  <c r="J76" i="7"/>
  <c r="K76" i="7" s="1"/>
  <c r="J101" i="7"/>
  <c r="K101" i="7" s="1"/>
  <c r="J128" i="7"/>
  <c r="K128" i="7" s="1"/>
  <c r="J169" i="7" l="1"/>
  <c r="K3" i="7"/>
  <c r="K169" i="7" s="1"/>
  <c r="K15" i="4" l="1"/>
  <c r="L15" i="4" s="1"/>
  <c r="M15" i="4" s="1"/>
  <c r="I38" i="1" l="1"/>
  <c r="J38" i="1" s="1"/>
  <c r="K38" i="1" l="1"/>
  <c r="K3" i="4" l="1"/>
  <c r="L3" i="4" l="1"/>
  <c r="N104" i="4"/>
  <c r="M3" i="4" l="1"/>
  <c r="K77" i="4"/>
  <c r="L77" i="4" s="1"/>
  <c r="M77" i="4" s="1"/>
  <c r="K76" i="4"/>
  <c r="K75" i="4"/>
  <c r="K74" i="4"/>
  <c r="L74" i="4" s="1"/>
  <c r="M74" i="4" s="1"/>
  <c r="K73" i="4"/>
  <c r="L73" i="4" s="1"/>
  <c r="M73" i="4" s="1"/>
  <c r="K72" i="4"/>
  <c r="L72" i="4" s="1"/>
  <c r="M72" i="4" s="1"/>
  <c r="K71" i="4"/>
  <c r="K70" i="4"/>
  <c r="K69" i="4"/>
  <c r="L69" i="4" s="1"/>
  <c r="K68" i="4"/>
  <c r="K67" i="4"/>
  <c r="L67" i="4" s="1"/>
  <c r="M67" i="4" s="1"/>
  <c r="K66" i="4"/>
  <c r="L66" i="4" s="1"/>
  <c r="M66" i="4" s="1"/>
  <c r="K65" i="4"/>
  <c r="L65" i="4" s="1"/>
  <c r="M65" i="4" s="1"/>
  <c r="K64" i="4"/>
  <c r="K63" i="4"/>
  <c r="K62" i="4"/>
  <c r="L62" i="4" s="1"/>
  <c r="M62" i="4" s="1"/>
  <c r="K61" i="4"/>
  <c r="L61" i="4" s="1"/>
  <c r="K60" i="4"/>
  <c r="L60" i="4" s="1"/>
  <c r="M60" i="4" s="1"/>
  <c r="K59" i="4"/>
  <c r="K58" i="4"/>
  <c r="L58" i="4" s="1"/>
  <c r="K56" i="4"/>
  <c r="K55" i="4"/>
  <c r="K54" i="4"/>
  <c r="L54" i="4" s="1"/>
  <c r="M54" i="4" s="1"/>
  <c r="K53" i="4"/>
  <c r="L53" i="4" s="1"/>
  <c r="K52" i="4"/>
  <c r="L52" i="4" s="1"/>
  <c r="M52" i="4" s="1"/>
  <c r="K51" i="4"/>
  <c r="K50" i="4"/>
  <c r="K49" i="4"/>
  <c r="L49" i="4" s="1"/>
  <c r="M49" i="4" s="1"/>
  <c r="K48" i="4"/>
  <c r="L48" i="4" s="1"/>
  <c r="M48" i="4" s="1"/>
  <c r="K47" i="4"/>
  <c r="L47" i="4" s="1"/>
  <c r="M47" i="4" s="1"/>
  <c r="K46" i="4"/>
  <c r="L46" i="4" s="1"/>
  <c r="K45" i="4"/>
  <c r="L45" i="4" s="1"/>
  <c r="K44" i="4"/>
  <c r="L44" i="4" s="1"/>
  <c r="K43" i="4"/>
  <c r="K42" i="4"/>
  <c r="L42" i="4" s="1"/>
  <c r="M42" i="4" s="1"/>
  <c r="K41" i="4"/>
  <c r="L41" i="4" s="1"/>
  <c r="K40" i="4"/>
  <c r="L40" i="4" s="1"/>
  <c r="M40" i="4" s="1"/>
  <c r="K39" i="4"/>
  <c r="K38" i="4"/>
  <c r="L38" i="4" s="1"/>
  <c r="K37" i="4"/>
  <c r="K36" i="4"/>
  <c r="L36" i="4" s="1"/>
  <c r="K35" i="4"/>
  <c r="L35" i="4" s="1"/>
  <c r="M35" i="4" s="1"/>
  <c r="K34" i="4"/>
  <c r="K33" i="4"/>
  <c r="K32" i="4"/>
  <c r="L32" i="4" s="1"/>
  <c r="M32" i="4" s="1"/>
  <c r="K31" i="4"/>
  <c r="K30" i="4"/>
  <c r="K29" i="4"/>
  <c r="L29" i="4" s="1"/>
  <c r="M29" i="4" s="1"/>
  <c r="K28" i="4"/>
  <c r="K27" i="4"/>
  <c r="L27" i="4" s="1"/>
  <c r="M27" i="4" s="1"/>
  <c r="K26" i="4"/>
  <c r="K25" i="4"/>
  <c r="K24" i="4"/>
  <c r="L24" i="4" s="1"/>
  <c r="M24" i="4" s="1"/>
  <c r="K23" i="4"/>
  <c r="L23" i="4" s="1"/>
  <c r="M23" i="4" s="1"/>
  <c r="K22" i="4"/>
  <c r="L22" i="4" s="1"/>
  <c r="M22" i="4" s="1"/>
  <c r="K21" i="4"/>
  <c r="K20" i="4"/>
  <c r="K19" i="4"/>
  <c r="L19" i="4" s="1"/>
  <c r="M19" i="4" s="1"/>
  <c r="K18" i="4"/>
  <c r="K17" i="4"/>
  <c r="K16" i="4"/>
  <c r="L16" i="4" s="1"/>
  <c r="M16" i="4" s="1"/>
  <c r="K14" i="4"/>
  <c r="K13" i="4"/>
  <c r="L13" i="4" s="1"/>
  <c r="K12" i="4"/>
  <c r="K11" i="4"/>
  <c r="K10" i="4"/>
  <c r="L10" i="4" s="1"/>
  <c r="M10" i="4" s="1"/>
  <c r="K9" i="4"/>
  <c r="L9" i="4" s="1"/>
  <c r="K8" i="4"/>
  <c r="L8" i="4" s="1"/>
  <c r="M8" i="4" s="1"/>
  <c r="K7" i="4"/>
  <c r="K6" i="4"/>
  <c r="L6" i="4" s="1"/>
  <c r="K5" i="4"/>
  <c r="L5" i="4" s="1"/>
  <c r="M5" i="4" s="1"/>
  <c r="K4" i="4"/>
  <c r="K104" i="4" l="1"/>
  <c r="O3" i="4"/>
  <c r="L28" i="4"/>
  <c r="M28" i="4" s="1"/>
  <c r="M41" i="4"/>
  <c r="M36" i="4"/>
  <c r="M61" i="4"/>
  <c r="M46" i="4"/>
  <c r="L12" i="4"/>
  <c r="M12" i="4" s="1"/>
  <c r="L56" i="4"/>
  <c r="M56" i="4" s="1"/>
  <c r="M9" i="4"/>
  <c r="M53" i="4"/>
  <c r="M69" i="4"/>
  <c r="L71" i="4"/>
  <c r="M71" i="4" s="1"/>
  <c r="L34" i="4"/>
  <c r="M34" i="4" s="1"/>
  <c r="M44" i="4"/>
  <c r="L59" i="4"/>
  <c r="M59" i="4" s="1"/>
  <c r="L37" i="4"/>
  <c r="M37" i="4" s="1"/>
  <c r="L75" i="4"/>
  <c r="M75" i="4" s="1"/>
  <c r="M45" i="4"/>
  <c r="L50" i="4"/>
  <c r="M50" i="4" s="1"/>
  <c r="M58" i="4"/>
  <c r="L63" i="4"/>
  <c r="M63" i="4" s="1"/>
  <c r="M6" i="4"/>
  <c r="L20" i="4"/>
  <c r="M20" i="4" s="1"/>
  <c r="L30" i="4"/>
  <c r="M30" i="4" s="1"/>
  <c r="L33" i="4"/>
  <c r="M33" i="4" s="1"/>
  <c r="M38" i="4"/>
  <c r="L43" i="4"/>
  <c r="M43" i="4" s="1"/>
  <c r="L55" i="4"/>
  <c r="M55" i="4" s="1"/>
  <c r="L68" i="4"/>
  <c r="M68" i="4" s="1"/>
  <c r="L70" i="4"/>
  <c r="M70" i="4" s="1"/>
  <c r="M13" i="4"/>
  <c r="L11" i="4"/>
  <c r="M11" i="4" s="1"/>
  <c r="L17" i="4"/>
  <c r="M17" i="4" s="1"/>
  <c r="L25" i="4"/>
  <c r="M25" i="4" s="1"/>
  <c r="L4" i="4"/>
  <c r="L7" i="4"/>
  <c r="M7" i="4" s="1"/>
  <c r="L14" i="4"/>
  <c r="M14" i="4" s="1"/>
  <c r="L18" i="4"/>
  <c r="M18" i="4" s="1"/>
  <c r="L21" i="4"/>
  <c r="M21" i="4" s="1"/>
  <c r="L26" i="4"/>
  <c r="M26" i="4" s="1"/>
  <c r="L31" i="4"/>
  <c r="M31" i="4" s="1"/>
  <c r="L39" i="4"/>
  <c r="M39" i="4" s="1"/>
  <c r="L51" i="4"/>
  <c r="M51" i="4" s="1"/>
  <c r="L64" i="4"/>
  <c r="M64" i="4" s="1"/>
  <c r="L76" i="4"/>
  <c r="M76" i="4" s="1"/>
  <c r="L104" i="4" l="1"/>
  <c r="M4" i="4"/>
  <c r="M104" i="4" s="1"/>
  <c r="H160" i="1" l="1"/>
  <c r="F160" i="1"/>
  <c r="I159" i="1"/>
  <c r="I158" i="1"/>
  <c r="I157" i="1"/>
  <c r="J157" i="1" s="1"/>
  <c r="K157" i="1" s="1"/>
  <c r="I156" i="1"/>
  <c r="I155" i="1"/>
  <c r="J155" i="1" s="1"/>
  <c r="K155" i="1" s="1"/>
  <c r="I154" i="1"/>
  <c r="J154" i="1" s="1"/>
  <c r="I153" i="1"/>
  <c r="J153" i="1" s="1"/>
  <c r="K153" i="1" s="1"/>
  <c r="I152" i="1"/>
  <c r="I151" i="1"/>
  <c r="J151" i="1" s="1"/>
  <c r="I150" i="1"/>
  <c r="J150" i="1" s="1"/>
  <c r="K150" i="1" s="1"/>
  <c r="I149" i="1"/>
  <c r="J149" i="1" s="1"/>
  <c r="K149" i="1" s="1"/>
  <c r="I148" i="1"/>
  <c r="I147" i="1"/>
  <c r="I146" i="1"/>
  <c r="J146" i="1" s="1"/>
  <c r="I145" i="1"/>
  <c r="J145" i="1" s="1"/>
  <c r="I144" i="1"/>
  <c r="I143" i="1"/>
  <c r="I142" i="1"/>
  <c r="I141" i="1"/>
  <c r="J141" i="1" s="1"/>
  <c r="K141" i="1" s="1"/>
  <c r="I140" i="1"/>
  <c r="I139" i="1"/>
  <c r="I138" i="1"/>
  <c r="I137" i="1"/>
  <c r="J137" i="1" s="1"/>
  <c r="K137" i="1" s="1"/>
  <c r="I136" i="1"/>
  <c r="I135" i="1"/>
  <c r="J135" i="1" s="1"/>
  <c r="K135" i="1" s="1"/>
  <c r="I134" i="1"/>
  <c r="I133" i="1"/>
  <c r="J133" i="1" s="1"/>
  <c r="K133" i="1" s="1"/>
  <c r="I132" i="1"/>
  <c r="I131" i="1"/>
  <c r="I130" i="1"/>
  <c r="J130" i="1" s="1"/>
  <c r="K130" i="1" s="1"/>
  <c r="I129" i="1"/>
  <c r="J129" i="1" s="1"/>
  <c r="K129" i="1" s="1"/>
  <c r="I128" i="1"/>
  <c r="I127" i="1"/>
  <c r="J127" i="1" s="1"/>
  <c r="I126" i="1"/>
  <c r="I125" i="1"/>
  <c r="J125" i="1" s="1"/>
  <c r="K125" i="1" s="1"/>
  <c r="I124" i="1"/>
  <c r="I123" i="1"/>
  <c r="I122" i="1"/>
  <c r="I121" i="1"/>
  <c r="J121" i="1" s="1"/>
  <c r="K121" i="1" s="1"/>
  <c r="I120" i="1"/>
  <c r="I119" i="1"/>
  <c r="I118" i="1"/>
  <c r="I117" i="1"/>
  <c r="J117" i="1" s="1"/>
  <c r="K117" i="1" s="1"/>
  <c r="I116" i="1"/>
  <c r="I115" i="1"/>
  <c r="I114" i="1"/>
  <c r="I113" i="1"/>
  <c r="J113" i="1" s="1"/>
  <c r="K113" i="1" s="1"/>
  <c r="I112" i="1"/>
  <c r="I111" i="1"/>
  <c r="J111" i="1" s="1"/>
  <c r="K111" i="1" s="1"/>
  <c r="I110" i="1"/>
  <c r="I109" i="1"/>
  <c r="J109" i="1" s="1"/>
  <c r="K109" i="1" s="1"/>
  <c r="I108" i="1"/>
  <c r="I107" i="1"/>
  <c r="J107" i="1" s="1"/>
  <c r="I106" i="1"/>
  <c r="J106" i="1" s="1"/>
  <c r="K106" i="1" s="1"/>
  <c r="I105" i="1"/>
  <c r="J105" i="1" s="1"/>
  <c r="K105" i="1" s="1"/>
  <c r="I104" i="1"/>
  <c r="I103" i="1"/>
  <c r="J103" i="1" s="1"/>
  <c r="I102" i="1"/>
  <c r="J102" i="1" s="1"/>
  <c r="I101" i="1"/>
  <c r="J101" i="1" s="1"/>
  <c r="K101" i="1" s="1"/>
  <c r="I100" i="1"/>
  <c r="I99" i="1"/>
  <c r="I98" i="1"/>
  <c r="I97" i="1"/>
  <c r="J97" i="1" s="1"/>
  <c r="K97" i="1" s="1"/>
  <c r="I96" i="1"/>
  <c r="I95" i="1"/>
  <c r="J95" i="1" s="1"/>
  <c r="I94" i="1"/>
  <c r="I93" i="1"/>
  <c r="J93" i="1" s="1"/>
  <c r="K93" i="1" s="1"/>
  <c r="I92" i="1"/>
  <c r="I91" i="1"/>
  <c r="I90" i="1"/>
  <c r="I89" i="1"/>
  <c r="J89" i="1" s="1"/>
  <c r="K89" i="1" s="1"/>
  <c r="I88" i="1"/>
  <c r="I87" i="1"/>
  <c r="J87" i="1" s="1"/>
  <c r="K87" i="1" s="1"/>
  <c r="I86" i="1"/>
  <c r="I85" i="1"/>
  <c r="J85" i="1" s="1"/>
  <c r="K85" i="1" s="1"/>
  <c r="I84" i="1"/>
  <c r="I83" i="1"/>
  <c r="I82" i="1"/>
  <c r="J82" i="1" s="1"/>
  <c r="K82" i="1" s="1"/>
  <c r="I81" i="1"/>
  <c r="J81" i="1" s="1"/>
  <c r="K81" i="1" s="1"/>
  <c r="I80" i="1"/>
  <c r="J80" i="1" s="1"/>
  <c r="I79" i="1"/>
  <c r="J79" i="1" s="1"/>
  <c r="I78" i="1"/>
  <c r="J78" i="1" s="1"/>
  <c r="I77" i="1"/>
  <c r="J77" i="1" s="1"/>
  <c r="K77" i="1" s="1"/>
  <c r="I76" i="1"/>
  <c r="J76" i="1" s="1"/>
  <c r="I75" i="1"/>
  <c r="I74" i="1"/>
  <c r="I73" i="1"/>
  <c r="J73" i="1" s="1"/>
  <c r="K73" i="1" s="1"/>
  <c r="I72" i="1"/>
  <c r="I71" i="1"/>
  <c r="I70" i="1"/>
  <c r="I69" i="1"/>
  <c r="J69" i="1" s="1"/>
  <c r="K69" i="1" s="1"/>
  <c r="I68" i="1"/>
  <c r="J68" i="1" s="1"/>
  <c r="I67" i="1"/>
  <c r="I66" i="1"/>
  <c r="J66" i="1" s="1"/>
  <c r="I65" i="1"/>
  <c r="J65" i="1" s="1"/>
  <c r="K65" i="1" s="1"/>
  <c r="I64" i="1"/>
  <c r="I63" i="1"/>
  <c r="J63" i="1" s="1"/>
  <c r="K63" i="1" s="1"/>
  <c r="I62" i="1"/>
  <c r="J62" i="1" s="1"/>
  <c r="I61" i="1"/>
  <c r="J61" i="1" s="1"/>
  <c r="K61" i="1" s="1"/>
  <c r="I60" i="1"/>
  <c r="I59" i="1"/>
  <c r="I58" i="1"/>
  <c r="J58" i="1" s="1"/>
  <c r="K58" i="1" s="1"/>
  <c r="I57" i="1"/>
  <c r="J57" i="1" s="1"/>
  <c r="K57" i="1" s="1"/>
  <c r="I56" i="1"/>
  <c r="I55" i="1"/>
  <c r="J55" i="1" s="1"/>
  <c r="I54" i="1"/>
  <c r="I53" i="1"/>
  <c r="J53" i="1" s="1"/>
  <c r="K53" i="1" s="1"/>
  <c r="I52" i="1"/>
  <c r="J52" i="1" s="1"/>
  <c r="I51" i="1"/>
  <c r="I50" i="1"/>
  <c r="I49" i="1"/>
  <c r="J49" i="1" s="1"/>
  <c r="K49" i="1" s="1"/>
  <c r="I48" i="1"/>
  <c r="I47" i="1"/>
  <c r="I46" i="1"/>
  <c r="I45" i="1"/>
  <c r="J45" i="1" s="1"/>
  <c r="K45" i="1" s="1"/>
  <c r="I44" i="1"/>
  <c r="I43" i="1"/>
  <c r="I42" i="1"/>
  <c r="I41" i="1"/>
  <c r="J41" i="1" s="1"/>
  <c r="K41" i="1" s="1"/>
  <c r="I40" i="1"/>
  <c r="I39" i="1"/>
  <c r="J39" i="1" s="1"/>
  <c r="K39" i="1" s="1"/>
  <c r="I37" i="1"/>
  <c r="I36" i="1"/>
  <c r="J36" i="1" s="1"/>
  <c r="K36" i="1" s="1"/>
  <c r="I35" i="1"/>
  <c r="I34" i="1"/>
  <c r="I33" i="1"/>
  <c r="J33" i="1" s="1"/>
  <c r="K33" i="1" s="1"/>
  <c r="I32" i="1"/>
  <c r="J32" i="1" s="1"/>
  <c r="K32" i="1" s="1"/>
  <c r="I31" i="1"/>
  <c r="J31" i="1" s="1"/>
  <c r="I30" i="1"/>
  <c r="I29" i="1"/>
  <c r="I28" i="1"/>
  <c r="J28" i="1" s="1"/>
  <c r="K28" i="1" s="1"/>
  <c r="I27" i="1"/>
  <c r="I26" i="1"/>
  <c r="I25" i="1"/>
  <c r="I24" i="1"/>
  <c r="J24" i="1" s="1"/>
  <c r="K24" i="1" s="1"/>
  <c r="I23" i="1"/>
  <c r="I22" i="1"/>
  <c r="I21" i="1"/>
  <c r="J21" i="1" s="1"/>
  <c r="I20" i="1"/>
  <c r="J20" i="1" s="1"/>
  <c r="K20" i="1" s="1"/>
  <c r="I19" i="1"/>
  <c r="J19" i="1" s="1"/>
  <c r="I18" i="1"/>
  <c r="I17" i="1"/>
  <c r="I16" i="1"/>
  <c r="J16" i="1" s="1"/>
  <c r="K16" i="1" s="1"/>
  <c r="I15" i="1"/>
  <c r="I14" i="1"/>
  <c r="J14" i="1" s="1"/>
  <c r="K14" i="1" s="1"/>
  <c r="I13" i="1"/>
  <c r="J13" i="1" s="1"/>
  <c r="I12" i="1"/>
  <c r="J12" i="1" s="1"/>
  <c r="K12" i="1" s="1"/>
  <c r="I11" i="1"/>
  <c r="I10" i="1"/>
  <c r="I9" i="1"/>
  <c r="J9" i="1" s="1"/>
  <c r="K9" i="1" s="1"/>
  <c r="I8" i="1"/>
  <c r="J8" i="1" s="1"/>
  <c r="K8" i="1" s="1"/>
  <c r="I7" i="1"/>
  <c r="I6" i="1"/>
  <c r="J6" i="1" s="1"/>
  <c r="I5" i="1"/>
  <c r="I4" i="1"/>
  <c r="J4" i="1" s="1"/>
  <c r="K4" i="1" s="1"/>
  <c r="I3" i="1"/>
  <c r="K145" i="1" l="1"/>
  <c r="J15" i="1"/>
  <c r="K15" i="1" s="1"/>
  <c r="J98" i="1"/>
  <c r="K98" i="1" s="1"/>
  <c r="J34" i="1"/>
  <c r="K34" i="1" s="1"/>
  <c r="J54" i="1"/>
  <c r="K54" i="1" s="1"/>
  <c r="J126" i="1"/>
  <c r="K126" i="1" s="1"/>
  <c r="J74" i="1"/>
  <c r="K74" i="1" s="1"/>
  <c r="J136" i="1"/>
  <c r="K136" i="1" s="1"/>
  <c r="J92" i="1"/>
  <c r="K92" i="1" s="1"/>
  <c r="K102" i="1"/>
  <c r="J40" i="1"/>
  <c r="K40" i="1" s="1"/>
  <c r="J5" i="1"/>
  <c r="K5" i="1" s="1"/>
  <c r="J131" i="1"/>
  <c r="K131" i="1" s="1"/>
  <c r="K78" i="1"/>
  <c r="J25" i="1"/>
  <c r="K25" i="1" s="1"/>
  <c r="J88" i="1"/>
  <c r="K88" i="1" s="1"/>
  <c r="K107" i="1"/>
  <c r="J44" i="1"/>
  <c r="K44" i="1" s="1"/>
  <c r="J116" i="1"/>
  <c r="K116" i="1" s="1"/>
  <c r="K19" i="1"/>
  <c r="J64" i="1"/>
  <c r="K64" i="1" s="1"/>
  <c r="K146" i="1"/>
  <c r="J10" i="1"/>
  <c r="K10" i="1" s="1"/>
  <c r="J29" i="1"/>
  <c r="K29" i="1" s="1"/>
  <c r="J83" i="1"/>
  <c r="K83" i="1" s="1"/>
  <c r="J156" i="1"/>
  <c r="K156" i="1" s="1"/>
  <c r="J50" i="1"/>
  <c r="K50" i="1" s="1"/>
  <c r="K68" i="1"/>
  <c r="J112" i="1"/>
  <c r="K112" i="1" s="1"/>
  <c r="J122" i="1"/>
  <c r="K122" i="1" s="1"/>
  <c r="J59" i="1"/>
  <c r="K59" i="1" s="1"/>
  <c r="J140" i="1"/>
  <c r="K140" i="1" s="1"/>
  <c r="K151" i="1"/>
  <c r="K6" i="1"/>
  <c r="J35" i="1"/>
  <c r="K35" i="1" s="1"/>
  <c r="J46" i="1"/>
  <c r="K46" i="1" s="1"/>
  <c r="K55" i="1"/>
  <c r="J70" i="1"/>
  <c r="K70" i="1" s="1"/>
  <c r="K79" i="1"/>
  <c r="J84" i="1"/>
  <c r="K84" i="1" s="1"/>
  <c r="J94" i="1"/>
  <c r="K94" i="1" s="1"/>
  <c r="K103" i="1"/>
  <c r="J108" i="1"/>
  <c r="K108" i="1" s="1"/>
  <c r="J118" i="1"/>
  <c r="K118" i="1" s="1"/>
  <c r="K127" i="1"/>
  <c r="J132" i="1"/>
  <c r="K132" i="1" s="1"/>
  <c r="J142" i="1"/>
  <c r="K142" i="1" s="1"/>
  <c r="J147" i="1"/>
  <c r="K147" i="1" s="1"/>
  <c r="J158" i="1"/>
  <c r="K158" i="1" s="1"/>
  <c r="K21" i="1"/>
  <c r="J26" i="1"/>
  <c r="K26" i="1" s="1"/>
  <c r="J51" i="1"/>
  <c r="K51" i="1" s="1"/>
  <c r="J75" i="1"/>
  <c r="K75" i="1" s="1"/>
  <c r="J99" i="1"/>
  <c r="K99" i="1" s="1"/>
  <c r="J17" i="1"/>
  <c r="K17" i="1" s="1"/>
  <c r="J42" i="1"/>
  <c r="K42" i="1" s="1"/>
  <c r="J90" i="1"/>
  <c r="K90" i="1" s="1"/>
  <c r="J128" i="1"/>
  <c r="K128" i="1" s="1"/>
  <c r="J138" i="1"/>
  <c r="K138" i="1" s="1"/>
  <c r="I160" i="1"/>
  <c r="J47" i="1"/>
  <c r="K47" i="1" s="1"/>
  <c r="K66" i="1"/>
  <c r="J71" i="1"/>
  <c r="K71" i="1" s="1"/>
  <c r="J143" i="1"/>
  <c r="K143" i="1" s="1"/>
  <c r="J159" i="1"/>
  <c r="K159" i="1" s="1"/>
  <c r="J3" i="1"/>
  <c r="K3" i="1" s="1"/>
  <c r="J86" i="1"/>
  <c r="K86" i="1" s="1"/>
  <c r="K95" i="1"/>
  <c r="J124" i="1"/>
  <c r="K124" i="1" s="1"/>
  <c r="K154" i="1"/>
  <c r="K13" i="1"/>
  <c r="J18" i="1"/>
  <c r="K18" i="1" s="1"/>
  <c r="K62" i="1"/>
  <c r="J91" i="1"/>
  <c r="K91" i="1" s="1"/>
  <c r="J30" i="1"/>
  <c r="K30" i="1" s="1"/>
  <c r="J152" i="1"/>
  <c r="K152" i="1" s="1"/>
  <c r="J11" i="1"/>
  <c r="K11" i="1" s="1"/>
  <c r="J60" i="1"/>
  <c r="K60" i="1" s="1"/>
  <c r="K31" i="1"/>
  <c r="K80" i="1"/>
  <c r="J123" i="1"/>
  <c r="K123" i="1" s="1"/>
  <c r="J7" i="1"/>
  <c r="K7" i="1" s="1"/>
  <c r="J56" i="1"/>
  <c r="K56" i="1" s="1"/>
  <c r="J104" i="1"/>
  <c r="K104" i="1" s="1"/>
  <c r="J114" i="1"/>
  <c r="K114" i="1" s="1"/>
  <c r="J148" i="1"/>
  <c r="K148" i="1" s="1"/>
  <c r="J22" i="1"/>
  <c r="K22" i="1" s="1"/>
  <c r="K52" i="1"/>
  <c r="K76" i="1"/>
  <c r="J119" i="1"/>
  <c r="K119" i="1" s="1"/>
  <c r="J27" i="1"/>
  <c r="K27" i="1" s="1"/>
  <c r="J37" i="1"/>
  <c r="K37" i="1" s="1"/>
  <c r="J100" i="1"/>
  <c r="K100" i="1" s="1"/>
  <c r="J110" i="1"/>
  <c r="K110" i="1" s="1"/>
  <c r="J134" i="1"/>
  <c r="K134" i="1" s="1"/>
  <c r="J43" i="1"/>
  <c r="K43" i="1" s="1"/>
  <c r="J67" i="1"/>
  <c r="K67" i="1" s="1"/>
  <c r="J115" i="1"/>
  <c r="K115" i="1" s="1"/>
  <c r="J139" i="1"/>
  <c r="K139" i="1" s="1"/>
  <c r="J144" i="1"/>
  <c r="K144" i="1" s="1"/>
  <c r="J23" i="1"/>
  <c r="K23" i="1" s="1"/>
  <c r="J48" i="1"/>
  <c r="K48" i="1" s="1"/>
  <c r="J72" i="1"/>
  <c r="K72" i="1" s="1"/>
  <c r="J96" i="1"/>
  <c r="K96" i="1" s="1"/>
  <c r="J120" i="1"/>
  <c r="K120" i="1" s="1"/>
  <c r="K160" i="1" l="1"/>
  <c r="J160" i="1"/>
</calcChain>
</file>

<file path=xl/sharedStrings.xml><?xml version="1.0" encoding="utf-8"?>
<sst xmlns="http://schemas.openxmlformats.org/spreadsheetml/2006/main" count="1208" uniqueCount="221">
  <si>
    <t>التاريخ</t>
  </si>
  <si>
    <t>رقم الفاتورة</t>
  </si>
  <si>
    <t>المندوب</t>
  </si>
  <si>
    <t>اسم العميل</t>
  </si>
  <si>
    <t>بيان الصنف</t>
  </si>
  <si>
    <t>سعر الوحدة</t>
  </si>
  <si>
    <t>المبلغ قبل الضريبة</t>
  </si>
  <si>
    <t>الضريبة</t>
  </si>
  <si>
    <t>المبلغ بعد الضريبة</t>
  </si>
  <si>
    <t>حالة التحصيل</t>
  </si>
  <si>
    <t>كاش / تحويل بنكي</t>
  </si>
  <si>
    <t>محمود</t>
  </si>
  <si>
    <t>سلفر سايد هندي ثمره</t>
  </si>
  <si>
    <t>شركة مجمدات الريف التجارية</t>
  </si>
  <si>
    <t>مبيعات شهر يناير</t>
  </si>
  <si>
    <t>مؤسسة كنز المحيط للتجارة</t>
  </si>
  <si>
    <t>فيل ليج العالي</t>
  </si>
  <si>
    <t>العدد بالكرتون</t>
  </si>
  <si>
    <t>الكمية كرتون / وزن</t>
  </si>
  <si>
    <t>شركة موارد الغذاء التجارية</t>
  </si>
  <si>
    <t>مؤسسة علي بن رافع علي الشمراني</t>
  </si>
  <si>
    <t>توب سايد هندي الكامل</t>
  </si>
  <si>
    <t>شركة الزاهر الوطنية التجارية</t>
  </si>
  <si>
    <t>بوبي فيل نواكو</t>
  </si>
  <si>
    <t>شاورما دجاج لارا</t>
  </si>
  <si>
    <t>فور كوارتر برازيلي مينرفا</t>
  </si>
  <si>
    <t>شركة سراج الاطعمه للتجارة والاستيراد</t>
  </si>
  <si>
    <t>فيل ليج هندي العالي</t>
  </si>
  <si>
    <t>سلفر سايد هندي الكامل</t>
  </si>
  <si>
    <t>الشركة الاهرام المتحدة للتجارة</t>
  </si>
  <si>
    <t>فيل ليج نواكو</t>
  </si>
  <si>
    <t>المشتريات شركة كادي</t>
  </si>
  <si>
    <t>مشتريات سريعة</t>
  </si>
  <si>
    <t>المورد</t>
  </si>
  <si>
    <t>البيان</t>
  </si>
  <si>
    <t>الوحدة</t>
  </si>
  <si>
    <t>الكمية وارد</t>
  </si>
  <si>
    <t>اجمالي قبل الضريبة</t>
  </si>
  <si>
    <t>اجمالي بعد الضريبة</t>
  </si>
  <si>
    <t>المبلغ المسدد</t>
  </si>
  <si>
    <t>باقي</t>
  </si>
  <si>
    <t>مدة بقاء البضاعة في المخزن</t>
  </si>
  <si>
    <t>كرتون</t>
  </si>
  <si>
    <t>سريع</t>
  </si>
  <si>
    <t>شركة مجمدات الريف</t>
  </si>
  <si>
    <t>مؤسسة فخر الأطعمة التجارية</t>
  </si>
  <si>
    <t>مؤسسة مطعم نور الحلبي لتقديم الوجبات</t>
  </si>
  <si>
    <t>فيليه عجل نواكو</t>
  </si>
  <si>
    <t>فيليه عجل هندي الكامل</t>
  </si>
  <si>
    <t>صدور دجاج لارا</t>
  </si>
  <si>
    <t>شركة يوسف عبدالرحمن الحفيتي للتجارة</t>
  </si>
  <si>
    <t>فيلية عجل هندي الكامل</t>
  </si>
  <si>
    <t>فيليه بقر هندي الكامل</t>
  </si>
  <si>
    <t>تندر ليون برازيلي مينرفا</t>
  </si>
  <si>
    <t>شركة الأغذية المتميزة</t>
  </si>
  <si>
    <t>شاورما دجاج AJC</t>
  </si>
  <si>
    <t>مؤسسة نور الباسقات</t>
  </si>
  <si>
    <t>بوبي فيل التمام</t>
  </si>
  <si>
    <t>شركة حلول الفا للتجارة والمقاولات</t>
  </si>
  <si>
    <t>فور كوارتر هندي الكامل</t>
  </si>
  <si>
    <t>شاورما دجاج ايفا</t>
  </si>
  <si>
    <t>سمك بنجش مجمد</t>
  </si>
  <si>
    <t>شركة نخبة الأفضل المتحدة</t>
  </si>
  <si>
    <t>سمك بنجاش مجمد</t>
  </si>
  <si>
    <t>رامب ستيك هندي الكامل</t>
  </si>
  <si>
    <t>مؤسسة جوهرة الحياة التجارية</t>
  </si>
  <si>
    <t>شركة الاهرام المتحدة التجارية</t>
  </si>
  <si>
    <t>ارجل دجاج انتاج</t>
  </si>
  <si>
    <t>شركة البضائع المتعددة</t>
  </si>
  <si>
    <t>ارجل دجاج أصول</t>
  </si>
  <si>
    <t>فيل ليج التمام</t>
  </si>
  <si>
    <t>تم دفعها بالخصم من فاتورة رقم 1233 كما في كشف حساب العميل</t>
  </si>
  <si>
    <t>شركة الامل التجارية</t>
  </si>
  <si>
    <t>ثك فلانك هندي الكامل</t>
  </si>
  <si>
    <t>فور كوارتر سلايس الكامل</t>
  </si>
  <si>
    <t>عميل نقدي</t>
  </si>
  <si>
    <t>سمك بنجاش</t>
  </si>
  <si>
    <t>بطاطس مايسترو</t>
  </si>
  <si>
    <t>فيليه عجل هندي نواكو</t>
  </si>
  <si>
    <t>شركة قيمة العالمية للتجارة شركة شخص واحد</t>
  </si>
  <si>
    <t>بوبي فيل هندي نواكو</t>
  </si>
  <si>
    <t>فيل ليجز هندي الكامل</t>
  </si>
  <si>
    <t>مؤسسة طيبات الخليج للتجارة</t>
  </si>
  <si>
    <t>بوبي فيل هندي التمام</t>
  </si>
  <si>
    <t>مؤسسة ثلاجة الجودة للمواد الغذائية</t>
  </si>
  <si>
    <t>شركة سدو العرب للتجارة</t>
  </si>
  <si>
    <t>فور كورتر رول هندي الكامل</t>
  </si>
  <si>
    <t>شركة الطعام الموحد للمواد الغذائية</t>
  </si>
  <si>
    <t>فيل ليجز نواكو</t>
  </si>
  <si>
    <t>فيل ليجز العالي</t>
  </si>
  <si>
    <t>شركة فكرة شرق الوسط التجارية</t>
  </si>
  <si>
    <t>عجل نيوزلندي افكو</t>
  </si>
  <si>
    <t>رول عجل هندي - مرجان</t>
  </si>
  <si>
    <t>رول عجل - الفاروق</t>
  </si>
  <si>
    <t>ارجل دجاج أصول 10 كيلو</t>
  </si>
  <si>
    <t>فيل ليجز هندي مينت</t>
  </si>
  <si>
    <t>شركة غذاء اليوم للنقل والتخزين</t>
  </si>
  <si>
    <t>صدور دجاج AJC</t>
  </si>
  <si>
    <t>فيل ليجز هندي التمام</t>
  </si>
  <si>
    <t>شاورما ايفا</t>
  </si>
  <si>
    <t>شركة ورد العربية التجارية</t>
  </si>
  <si>
    <t>شركة بداية ونهاية الجودة التجارية</t>
  </si>
  <si>
    <t>شركة بيورفريز التجارية</t>
  </si>
  <si>
    <t>مؤسسة خالد سعود سعد السفري</t>
  </si>
  <si>
    <t>بوبي فيل هندي مينت</t>
  </si>
  <si>
    <t>فيل ليجز هندي الفاروق</t>
  </si>
  <si>
    <t>فيل ليج هندي الفاروق</t>
  </si>
  <si>
    <t>مبيعات شهر فبراير</t>
  </si>
  <si>
    <t>فور كوارتر برازيلي</t>
  </si>
  <si>
    <t>فيل ليجز هندي المرجان</t>
  </si>
  <si>
    <t>شركة حلول الفا  للتجارة والمقاولات</t>
  </si>
  <si>
    <t>شركة سراج الأطعمة للتجارة والاستيراد</t>
  </si>
  <si>
    <t>شركة سامح العربية للوجبات السريعة</t>
  </si>
  <si>
    <t>مؤسسة علي بن رافع الشمراني</t>
  </si>
  <si>
    <t>شركة الامجاد الدولي المحدودة</t>
  </si>
  <si>
    <t>مطعم الطعم الريفي للوجبات السريعة</t>
  </si>
  <si>
    <t>شركة الزاهر الوطنية التجارية ( الحلقة )</t>
  </si>
  <si>
    <t>شركة الزاهر الوطنية التجارية ( الطائف )</t>
  </si>
  <si>
    <t>افخاد دجاج انتاج</t>
  </si>
  <si>
    <t>افخاد دجاج اصول</t>
  </si>
  <si>
    <t>شركة الزاهر الوطنية التجارية ( الجملة )</t>
  </si>
  <si>
    <t>بوبي فيل مينت</t>
  </si>
  <si>
    <t>مؤسسة خالد سعود السفري</t>
  </si>
  <si>
    <t>شركة يوجن انترناشونال</t>
  </si>
  <si>
    <t>فيل ليجز هندي نواكو</t>
  </si>
  <si>
    <t>شركة فخر الأطعمة التجارية</t>
  </si>
  <si>
    <t>بوبي فيل هندي الكامل</t>
  </si>
  <si>
    <t>شركة الامبراطور</t>
  </si>
  <si>
    <t>كرشة غنم</t>
  </si>
  <si>
    <t>شركة البادية الخليجية لتجارة الجملة والتجزئة</t>
  </si>
  <si>
    <t>لحم حمل مع العظم</t>
  </si>
  <si>
    <t>شركة سما العالم المحدودة</t>
  </si>
  <si>
    <t>شركة دجاج اسيا لخدمات الاعاشة</t>
  </si>
  <si>
    <t>لحم حمل بالعظم</t>
  </si>
  <si>
    <t>شركة صالح منصر العمودي للتجارة</t>
  </si>
  <si>
    <t>بوبي فيل الكامل</t>
  </si>
  <si>
    <t>ثلاجة البراق التجارية</t>
  </si>
  <si>
    <t>دجاج أصول 800 جرام</t>
  </si>
  <si>
    <t>شركة عاصمة الدجاج المحدودة</t>
  </si>
  <si>
    <t>شركة الاهرام المتحدة للتجارة</t>
  </si>
  <si>
    <t>فيل ليجز هندي العالي</t>
  </si>
  <si>
    <t>دجاج مجمد أصول</t>
  </si>
  <si>
    <t>فيل ليج هندي صاحبة</t>
  </si>
  <si>
    <t>فيل ليج هندي عمبر</t>
  </si>
  <si>
    <t>فيل ليج هندي الذوق</t>
  </si>
  <si>
    <t>فيل ليجز هندي الزوق</t>
  </si>
  <si>
    <t>مرتجع</t>
  </si>
  <si>
    <t>صدور دجاج ايفا</t>
  </si>
  <si>
    <t>مؤسسة ارزاق البحار للمواد الغذائية</t>
  </si>
  <si>
    <t>شركة الطعام الموحد</t>
  </si>
  <si>
    <t>بن حوفان</t>
  </si>
  <si>
    <t>مؤسسة فارم فود للتجارة</t>
  </si>
  <si>
    <t>فيل ليجز الكامل</t>
  </si>
  <si>
    <t>فيل ليج هندي الكامل</t>
  </si>
  <si>
    <t>فيل ليجز هندي صاحبة</t>
  </si>
  <si>
    <t>خروف 6 قطع استرالي</t>
  </si>
  <si>
    <t>شركة صالح منصر العمودي</t>
  </si>
  <si>
    <t>فيل ليجز ALM</t>
  </si>
  <si>
    <t>شركة زاد نعمة</t>
  </si>
  <si>
    <t>مطعم نور الحلبي لتقديم الوجبات</t>
  </si>
  <si>
    <t>فيليه عجل هندي رستم</t>
  </si>
  <si>
    <t>شركة منية الدار</t>
  </si>
  <si>
    <t>شركة الاقتصاد الدولي التجارية</t>
  </si>
  <si>
    <t>مؤسسة عبدالمحسن صالح الحيدري</t>
  </si>
  <si>
    <t>بوبي فيل ثمرة</t>
  </si>
  <si>
    <t>فور كوارتر الانا</t>
  </si>
  <si>
    <t>شركة جملة سدرة التجارية</t>
  </si>
  <si>
    <t>فيل ليجز هندي عمبر</t>
  </si>
  <si>
    <t>شركة سراج الاطعمه</t>
  </si>
  <si>
    <t>بوبي فيل هندي ثمرة</t>
  </si>
  <si>
    <t>مؤسسة فنون الشواية لتقديم الوجبات</t>
  </si>
  <si>
    <t>أبو خالد</t>
  </si>
  <si>
    <t>شركة محمد عمر بالخير</t>
  </si>
  <si>
    <t>رول عجل مينت 18 كجم (فيل ليجز )</t>
  </si>
  <si>
    <t>شركة منار النجوم المحدودة</t>
  </si>
  <si>
    <t>فور كوارتر هندي الانا</t>
  </si>
  <si>
    <t>شركة واردات مضيق البسفور</t>
  </si>
  <si>
    <t>فور كوارتر هندي عمبر</t>
  </si>
  <si>
    <t>تندرليون عمبر</t>
  </si>
  <si>
    <t>تندرليون فيليه عمبر</t>
  </si>
  <si>
    <t>توب سايد فري بوي</t>
  </si>
  <si>
    <t>مبيعات شهر مارس</t>
  </si>
  <si>
    <t>طاهي</t>
  </si>
  <si>
    <t>فيلية عجل هندي عمبر</t>
  </si>
  <si>
    <t>شركة الزاهر الوطنية التجارية شخص واحد</t>
  </si>
  <si>
    <t>شركة حلول الفا التجارية</t>
  </si>
  <si>
    <t>فيل ليجز هندي صاحبه</t>
  </si>
  <si>
    <t>عجل مقطع افيكو نيوزلاندي</t>
  </si>
  <si>
    <t>مقدم</t>
  </si>
  <si>
    <t>افخاد دجاج أصول</t>
  </si>
  <si>
    <t>فيليه عجل هندي عمبر</t>
  </si>
  <si>
    <t>شركة رضوي العربية لانتاج الدواجن والأغذية الفاخرة</t>
  </si>
  <si>
    <t>ثك فلانك هندي ثمرة</t>
  </si>
  <si>
    <t>شركة ثلاجة البراق التجارية</t>
  </si>
  <si>
    <t>فيلية عجل هندي الكامل ( تندليون )</t>
  </si>
  <si>
    <t>فيليه عجل هندي صاحبة</t>
  </si>
  <si>
    <t>فيليه عجل هندي صاحبة ( 99 )</t>
  </si>
  <si>
    <t>شركة جوهرة الحياة التجارية</t>
  </si>
  <si>
    <t>شركة نصيب جرين للتجارة</t>
  </si>
  <si>
    <t>شركة المحصول الفاخرة للتجارة</t>
  </si>
  <si>
    <t>فيلية برازيلي فري بوي</t>
  </si>
  <si>
    <t>مشتريات نقدي بدون فاتورة</t>
  </si>
  <si>
    <t>كجم</t>
  </si>
  <si>
    <t>لحم حمل لامب افكو</t>
  </si>
  <si>
    <t>لحم حمل موتون افكو</t>
  </si>
  <si>
    <t>فور كوارتر رول هندي ثمرة</t>
  </si>
  <si>
    <t>توب سايد الكامل</t>
  </si>
  <si>
    <t>فيليه بقر الكامل رقم 31</t>
  </si>
  <si>
    <t>لحم هندي فور كوارتر التمام</t>
  </si>
  <si>
    <t>مؤسسة صالح عبدالمحسن الحيدري</t>
  </si>
  <si>
    <t>فور كوارتر ثمرة</t>
  </si>
  <si>
    <t>مؤسسة إسكندر كباب لتقديم الوجبات</t>
  </si>
  <si>
    <t>فيل ليجز هندي ALM</t>
  </si>
  <si>
    <t>شاورما يونف</t>
  </si>
  <si>
    <t>شاورما برازيلي يونف</t>
  </si>
  <si>
    <t>فيليه بقر هندي عمبر</t>
  </si>
  <si>
    <t>مؤسسة اعمال مجان</t>
  </si>
  <si>
    <t>فور كوراتر رستم</t>
  </si>
  <si>
    <t>سلفر سايد رستم</t>
  </si>
  <si>
    <t>رامب ستيك رستم</t>
  </si>
  <si>
    <t>لحم خروف الربع الامامي موتون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</si>
</sst>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[$-409]d\-mmm\-yyyy;@"/>
    <numFmt numFmtId="168" formatCode="0.0%"/>
    <numFmt numFmtId="169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u/>
      <sz val="16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2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16" fontId="3" fillId="0" borderId="4" xfId="0" applyNumberFormat="1" applyFont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0" xfId="0" applyFill="1"/>
    <xf numFmtId="4" fontId="4" fillId="2" borderId="5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3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165" fontId="3" fillId="0" borderId="3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4" borderId="0" xfId="0" applyFont="1" applyFill="1"/>
    <xf numFmtId="4" fontId="3" fillId="4" borderId="6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5" borderId="0" xfId="0" applyFont="1" applyFill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" fontId="3" fillId="0" borderId="3" xfId="0" applyNumberFormat="1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3" fillId="0" borderId="6" xfId="0" applyFont="1" applyBorder="1"/>
    <xf numFmtId="4" fontId="3" fillId="6" borderId="6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0" xfId="0" applyFont="1" applyFill="1"/>
    <xf numFmtId="4" fontId="3" fillId="6" borderId="5" xfId="0" applyNumberFormat="1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4" fontId="3" fillId="2" borderId="6" xfId="0" applyNumberFormat="1" applyFont="1" applyFill="1" applyBorder="1" applyAlignment="1">
      <alignment horizontal="center"/>
    </xf>
    <xf numFmtId="4" fontId="3" fillId="7" borderId="5" xfId="0" applyNumberFormat="1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right"/>
    </xf>
    <xf numFmtId="4" fontId="3" fillId="8" borderId="5" xfId="0" applyNumberFormat="1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8" borderId="0" xfId="0" applyFont="1" applyFill="1"/>
    <xf numFmtId="4" fontId="3" fillId="9" borderId="5" xfId="0" applyNumberFormat="1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2" fillId="9" borderId="0" xfId="0" applyFont="1" applyFill="1"/>
    <xf numFmtId="0" fontId="0" fillId="8" borderId="0" xfId="0" applyFill="1"/>
    <xf numFmtId="4" fontId="3" fillId="10" borderId="5" xfId="0" applyNumberFormat="1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0" xfId="0" applyFont="1" applyFill="1"/>
    <xf numFmtId="4" fontId="3" fillId="12" borderId="5" xfId="0" applyNumberFormat="1" applyFont="1" applyFill="1" applyBorder="1" applyAlignment="1">
      <alignment horizontal="center"/>
    </xf>
    <xf numFmtId="0" fontId="2" fillId="12" borderId="7" xfId="0" applyFont="1" applyFill="1" applyBorder="1" applyAlignment="1">
      <alignment horizontal="center"/>
    </xf>
    <xf numFmtId="0" fontId="0" fillId="12" borderId="0" xfId="0" applyFill="1"/>
    <xf numFmtId="0" fontId="2" fillId="12" borderId="0" xfId="0" applyFont="1" applyFill="1"/>
    <xf numFmtId="0" fontId="2" fillId="6" borderId="7" xfId="0" applyFont="1" applyFill="1" applyBorder="1" applyAlignment="1">
      <alignment horizontal="right"/>
    </xf>
    <xf numFmtId="4" fontId="3" fillId="13" borderId="5" xfId="0" applyNumberFormat="1" applyFont="1" applyFill="1" applyBorder="1" applyAlignment="1">
      <alignment horizontal="center"/>
    </xf>
    <xf numFmtId="0" fontId="2" fillId="13" borderId="7" xfId="0" applyFont="1" applyFill="1" applyBorder="1" applyAlignment="1">
      <alignment horizontal="center"/>
    </xf>
    <xf numFmtId="0" fontId="0" fillId="13" borderId="0" xfId="0" applyFill="1"/>
    <xf numFmtId="4" fontId="3" fillId="4" borderId="5" xfId="0" applyNumberFormat="1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4" borderId="0" xfId="0" applyFill="1"/>
    <xf numFmtId="4" fontId="3" fillId="11" borderId="5" xfId="0" applyNumberFormat="1" applyFont="1" applyFill="1" applyBorder="1" applyAlignment="1">
      <alignment horizontal="center"/>
    </xf>
    <xf numFmtId="0" fontId="2" fillId="11" borderId="7" xfId="0" applyFont="1" applyFill="1" applyBorder="1" applyAlignment="1">
      <alignment horizontal="center"/>
    </xf>
    <xf numFmtId="4" fontId="3" fillId="11" borderId="6" xfId="0" applyNumberFormat="1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4" fontId="0" fillId="0" borderId="0" xfId="0" applyNumberFormat="1"/>
    <xf numFmtId="165" fontId="3" fillId="14" borderId="3" xfId="0" applyNumberFormat="1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4" borderId="3" xfId="0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/>
    </xf>
    <xf numFmtId="1" fontId="3" fillId="14" borderId="5" xfId="0" applyNumberFormat="1" applyFont="1" applyFill="1" applyBorder="1" applyAlignment="1">
      <alignment horizontal="center"/>
    </xf>
    <xf numFmtId="4" fontId="3" fillId="14" borderId="5" xfId="0" applyNumberFormat="1" applyFont="1" applyFill="1" applyBorder="1" applyAlignment="1">
      <alignment horizontal="center"/>
    </xf>
    <xf numFmtId="0" fontId="2" fillId="14" borderId="7" xfId="0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0" fillId="10" borderId="0" xfId="0" applyFill="1"/>
    <xf numFmtId="4" fontId="3" fillId="2" borderId="5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4" fontId="3" fillId="15" borderId="1" xfId="0" applyNumberFormat="1" applyFont="1" applyFill="1" applyBorder="1" applyAlignment="1">
      <alignment horizontal="center"/>
    </xf>
    <xf numFmtId="1" fontId="6" fillId="15" borderId="1" xfId="0" applyNumberFormat="1" applyFont="1" applyFill="1" applyBorder="1" applyAlignment="1">
      <alignment horizontal="center"/>
    </xf>
    <xf numFmtId="0" fontId="0" fillId="15" borderId="0" xfId="0" applyFill="1"/>
    <xf numFmtId="0" fontId="2" fillId="2" borderId="0" xfId="0" applyFont="1" applyFill="1"/>
    <xf numFmtId="165" fontId="3" fillId="11" borderId="3" xfId="0" applyNumberFormat="1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2" fillId="11" borderId="0" xfId="0" applyFont="1" applyFill="1"/>
    <xf numFmtId="0" fontId="3" fillId="0" borderId="6" xfId="0" applyFont="1" applyBorder="1" applyAlignment="1">
      <alignment horizontal="center"/>
    </xf>
    <xf numFmtId="0" fontId="0" fillId="14" borderId="7" xfId="0" applyFill="1" applyBorder="1" applyAlignment="1">
      <alignment horizontal="center"/>
    </xf>
    <xf numFmtId="16" fontId="3" fillId="14" borderId="3" xfId="0" applyNumberFormat="1" applyFont="1" applyFill="1" applyBorder="1" applyAlignment="1">
      <alignment horizontal="center"/>
    </xf>
    <xf numFmtId="14" fontId="3" fillId="14" borderId="3" xfId="0" applyNumberFormat="1" applyFont="1" applyFill="1" applyBorder="1" applyAlignment="1">
      <alignment horizontal="center"/>
    </xf>
    <xf numFmtId="0" fontId="3" fillId="14" borderId="6" xfId="0" applyFont="1" applyFill="1" applyBorder="1"/>
    <xf numFmtId="4" fontId="3" fillId="14" borderId="1" xfId="0" applyNumberFormat="1" applyFont="1" applyFill="1" applyBorder="1" applyAlignment="1">
      <alignment horizontal="center"/>
    </xf>
    <xf numFmtId="16" fontId="3" fillId="5" borderId="3" xfId="0" applyNumberFormat="1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2" fontId="3" fillId="5" borderId="3" xfId="0" applyNumberFormat="1" applyFont="1" applyFill="1" applyBorder="1" applyAlignment="1">
      <alignment horizontal="center"/>
    </xf>
    <xf numFmtId="0" fontId="3" fillId="5" borderId="6" xfId="0" applyFont="1" applyFill="1" applyBorder="1"/>
    <xf numFmtId="4" fontId="3" fillId="5" borderId="1" xfId="0" applyNumberFormat="1" applyFont="1" applyFill="1" applyBorder="1" applyAlignment="1">
      <alignment horizontal="center"/>
    </xf>
    <xf numFmtId="1" fontId="7" fillId="15" borderId="1" xfId="0" applyNumberFormat="1" applyFont="1" applyFill="1" applyBorder="1" applyAlignment="1">
      <alignment horizontal="center"/>
    </xf>
    <xf numFmtId="1" fontId="3" fillId="14" borderId="3" xfId="0" applyNumberFormat="1" applyFont="1" applyFill="1" applyBorder="1" applyAlignment="1">
      <alignment horizontal="center"/>
    </xf>
    <xf numFmtId="0" fontId="3" fillId="11" borderId="6" xfId="0" applyFont="1" applyFill="1" applyBorder="1"/>
    <xf numFmtId="4" fontId="3" fillId="11" borderId="1" xfId="0" applyNumberFormat="1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/>
    </xf>
    <xf numFmtId="4" fontId="3" fillId="6" borderId="1" xfId="0" applyNumberFormat="1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168" fontId="0" fillId="0" borderId="0" xfId="1" applyNumberFormat="1" applyFont="1"/>
    <xf numFmtId="10" fontId="0" fillId="0" borderId="0" xfId="1" applyNumberFormat="1" applyFont="1"/>
    <xf numFmtId="9" fontId="0" fillId="0" borderId="0" xfId="0" applyNumberFormat="1"/>
    <xf numFmtId="43" fontId="0" fillId="0" borderId="0" xfId="2" applyFont="1"/>
    <xf numFmtId="169" fontId="0" fillId="0" borderId="0" xfId="2" applyNumberFormat="1" applyFont="1"/>
    <xf numFmtId="43" fontId="0" fillId="0" borderId="0" xfId="0" applyNumberFormat="1"/>
    <xf numFmtId="165" fontId="3" fillId="2" borderId="3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3">
    <cellStyle name="Comma" xfId="2" builtinId="3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0.59999389629810485"/>
  </sheetPr>
  <dimension ref="A1:M165"/>
  <sheetViews>
    <sheetView rightToLeft="1" workbookViewId="0">
      <pane ySplit="2" topLeftCell="A144" activePane="bottomLeft" state="frozen"/>
      <selection pane="bottomLeft" activeCell="E162" sqref="E162:I167"/>
    </sheetView>
  </sheetViews>
  <sheetFormatPr defaultRowHeight="14.4" x14ac:dyDescent="0.3"/>
  <cols>
    <col min="1" max="1" width="11" bestFit="1" customWidth="1"/>
    <col min="2" max="2" width="10" customWidth="1"/>
    <col min="3" max="3" width="9" customWidth="1"/>
    <col min="4" max="4" width="32.109375" bestFit="1" customWidth="1"/>
    <col min="5" max="5" width="25" bestFit="1" customWidth="1"/>
    <col min="6" max="6" width="19.21875" bestFit="1" customWidth="1"/>
    <col min="8" max="8" width="15.6640625" bestFit="1" customWidth="1"/>
    <col min="9" max="9" width="12.77734375" bestFit="1" customWidth="1"/>
    <col min="10" max="11" width="12.6640625" bestFit="1" customWidth="1"/>
    <col min="12" max="12" width="18.88671875" bestFit="1" customWidth="1"/>
    <col min="13" max="13" width="24.44140625" customWidth="1"/>
  </cols>
  <sheetData>
    <row r="1" spans="1:13" ht="15.6" x14ac:dyDescent="0.3">
      <c r="H1" s="1" t="s">
        <v>14</v>
      </c>
      <c r="I1" s="2"/>
      <c r="J1" s="2"/>
      <c r="K1" s="2"/>
      <c r="L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17</v>
      </c>
      <c r="G2" s="3" t="s">
        <v>5</v>
      </c>
      <c r="H2" s="3" t="s">
        <v>18</v>
      </c>
      <c r="I2" s="3" t="s">
        <v>6</v>
      </c>
      <c r="J2" s="3" t="s">
        <v>7</v>
      </c>
      <c r="K2" s="3" t="s">
        <v>8</v>
      </c>
      <c r="L2" s="3" t="s">
        <v>9</v>
      </c>
      <c r="M2" s="4" t="s">
        <v>10</v>
      </c>
    </row>
    <row r="3" spans="1:13" x14ac:dyDescent="0.3">
      <c r="A3" s="20">
        <v>46023</v>
      </c>
      <c r="B3" s="5">
        <v>1</v>
      </c>
      <c r="C3" s="5" t="s">
        <v>11</v>
      </c>
      <c r="D3" s="5" t="s">
        <v>15</v>
      </c>
      <c r="E3" s="14" t="s">
        <v>12</v>
      </c>
      <c r="F3" s="6">
        <v>50</v>
      </c>
      <c r="G3" s="6">
        <v>414</v>
      </c>
      <c r="H3" s="15">
        <v>50</v>
      </c>
      <c r="I3" s="6">
        <f>H3*G3</f>
        <v>20700</v>
      </c>
      <c r="J3" s="14">
        <f t="shared" ref="J3:J159" si="0">I3*15%</f>
        <v>3105</v>
      </c>
      <c r="K3" s="23">
        <f t="shared" ref="K3:K159" si="1">I3+J3</f>
        <v>23805</v>
      </c>
      <c r="L3" s="21"/>
      <c r="M3" s="22"/>
    </row>
    <row r="4" spans="1:13" x14ac:dyDescent="0.3">
      <c r="A4" s="20">
        <v>46023</v>
      </c>
      <c r="B4" s="5">
        <v>1</v>
      </c>
      <c r="C4" s="5" t="s">
        <v>11</v>
      </c>
      <c r="D4" s="5" t="s">
        <v>15</v>
      </c>
      <c r="E4" s="5" t="s">
        <v>49</v>
      </c>
      <c r="F4" s="6">
        <v>100</v>
      </c>
      <c r="G4" s="6">
        <v>152</v>
      </c>
      <c r="H4" s="15">
        <v>100</v>
      </c>
      <c r="I4" s="6">
        <f>H4*G4</f>
        <v>15200</v>
      </c>
      <c r="J4" s="14">
        <f t="shared" si="0"/>
        <v>2280</v>
      </c>
      <c r="K4" s="23">
        <f t="shared" si="1"/>
        <v>17480</v>
      </c>
      <c r="L4" s="24"/>
      <c r="M4" s="19"/>
    </row>
    <row r="5" spans="1:13" x14ac:dyDescent="0.3">
      <c r="A5" s="20">
        <v>46023</v>
      </c>
      <c r="B5" s="5">
        <v>1</v>
      </c>
      <c r="C5" s="5" t="s">
        <v>11</v>
      </c>
      <c r="D5" s="5" t="s">
        <v>15</v>
      </c>
      <c r="E5" s="14" t="s">
        <v>16</v>
      </c>
      <c r="F5" s="6">
        <v>10</v>
      </c>
      <c r="G5" s="6">
        <v>338</v>
      </c>
      <c r="H5" s="15">
        <v>10</v>
      </c>
      <c r="I5" s="6">
        <f>H5*G5</f>
        <v>3380</v>
      </c>
      <c r="J5" s="14">
        <f t="shared" si="0"/>
        <v>507</v>
      </c>
      <c r="K5" s="23">
        <f t="shared" si="1"/>
        <v>3887</v>
      </c>
      <c r="L5" s="24"/>
      <c r="M5" s="19"/>
    </row>
    <row r="6" spans="1:13" x14ac:dyDescent="0.3">
      <c r="A6" s="20">
        <v>46023</v>
      </c>
      <c r="B6" s="5">
        <v>2</v>
      </c>
      <c r="C6" s="5" t="s">
        <v>11</v>
      </c>
      <c r="D6" s="5" t="s">
        <v>19</v>
      </c>
      <c r="E6" s="5" t="s">
        <v>49</v>
      </c>
      <c r="F6" s="6">
        <v>300</v>
      </c>
      <c r="G6" s="6">
        <v>151</v>
      </c>
      <c r="H6" s="15">
        <v>300</v>
      </c>
      <c r="I6" s="6">
        <f>H6*G6</f>
        <v>45300</v>
      </c>
      <c r="J6" s="14">
        <f t="shared" si="0"/>
        <v>6795</v>
      </c>
      <c r="K6" s="40">
        <f t="shared" si="1"/>
        <v>52095</v>
      </c>
      <c r="L6" s="41"/>
      <c r="M6" s="42"/>
    </row>
    <row r="7" spans="1:13" x14ac:dyDescent="0.3">
      <c r="A7" s="20">
        <v>46023</v>
      </c>
      <c r="B7" s="5">
        <v>3</v>
      </c>
      <c r="C7" s="5" t="s">
        <v>11</v>
      </c>
      <c r="D7" s="14" t="s">
        <v>20</v>
      </c>
      <c r="E7" s="5" t="s">
        <v>49</v>
      </c>
      <c r="F7" s="6">
        <v>7</v>
      </c>
      <c r="G7" s="6">
        <v>153</v>
      </c>
      <c r="H7" s="15">
        <v>7</v>
      </c>
      <c r="I7" s="6">
        <f>H7*G7</f>
        <v>1071</v>
      </c>
      <c r="J7" s="14">
        <f t="shared" si="0"/>
        <v>160.65</v>
      </c>
      <c r="K7" s="40">
        <f t="shared" si="1"/>
        <v>1231.6500000000001</v>
      </c>
      <c r="L7" s="41"/>
      <c r="M7" s="42"/>
    </row>
    <row r="8" spans="1:13" x14ac:dyDescent="0.3">
      <c r="A8" s="20">
        <v>46023</v>
      </c>
      <c r="B8" s="14">
        <v>4</v>
      </c>
      <c r="C8" s="5" t="s">
        <v>11</v>
      </c>
      <c r="D8" s="14" t="s">
        <v>13</v>
      </c>
      <c r="E8" s="5" t="s">
        <v>21</v>
      </c>
      <c r="F8" s="14">
        <v>150</v>
      </c>
      <c r="G8" s="14">
        <v>426</v>
      </c>
      <c r="H8" s="14">
        <v>150</v>
      </c>
      <c r="I8" s="14">
        <f t="shared" ref="I8:I159" si="2">H8*G8</f>
        <v>63900</v>
      </c>
      <c r="J8" s="14">
        <f t="shared" si="0"/>
        <v>9585</v>
      </c>
      <c r="K8" s="47">
        <f t="shared" si="1"/>
        <v>73485</v>
      </c>
      <c r="L8" s="25"/>
      <c r="M8" s="11"/>
    </row>
    <row r="9" spans="1:13" x14ac:dyDescent="0.3">
      <c r="A9" s="20">
        <v>46025</v>
      </c>
      <c r="B9" s="5">
        <v>5</v>
      </c>
      <c r="C9" s="5" t="s">
        <v>11</v>
      </c>
      <c r="D9" s="5" t="s">
        <v>22</v>
      </c>
      <c r="E9" s="5" t="s">
        <v>23</v>
      </c>
      <c r="F9" s="5">
        <v>100</v>
      </c>
      <c r="G9" s="5">
        <v>297</v>
      </c>
      <c r="H9" s="5">
        <v>100</v>
      </c>
      <c r="I9" s="5">
        <f t="shared" si="2"/>
        <v>29700</v>
      </c>
      <c r="J9" s="5">
        <f t="shared" si="0"/>
        <v>4455</v>
      </c>
      <c r="K9" s="43">
        <f t="shared" si="1"/>
        <v>34155</v>
      </c>
      <c r="L9" s="44"/>
      <c r="M9" s="42"/>
    </row>
    <row r="10" spans="1:13" x14ac:dyDescent="0.3">
      <c r="A10" s="20">
        <v>46025</v>
      </c>
      <c r="B10" s="14">
        <v>5</v>
      </c>
      <c r="C10" s="5" t="s">
        <v>11</v>
      </c>
      <c r="D10" s="5" t="s">
        <v>22</v>
      </c>
      <c r="E10" s="14" t="s">
        <v>24</v>
      </c>
      <c r="F10" s="14">
        <v>100</v>
      </c>
      <c r="G10" s="14">
        <v>170</v>
      </c>
      <c r="H10" s="5">
        <v>100</v>
      </c>
      <c r="I10" s="14">
        <f t="shared" si="2"/>
        <v>17000</v>
      </c>
      <c r="J10" s="5">
        <f t="shared" si="0"/>
        <v>2550</v>
      </c>
      <c r="K10" s="43">
        <f t="shared" si="1"/>
        <v>19550</v>
      </c>
      <c r="L10" s="41"/>
      <c r="M10" s="42"/>
    </row>
    <row r="11" spans="1:13" x14ac:dyDescent="0.3">
      <c r="A11" s="20">
        <v>46025</v>
      </c>
      <c r="B11" s="14">
        <v>6</v>
      </c>
      <c r="C11" s="5" t="s">
        <v>11</v>
      </c>
      <c r="D11" s="5" t="s">
        <v>20</v>
      </c>
      <c r="E11" s="5" t="s">
        <v>49</v>
      </c>
      <c r="F11" s="14">
        <v>4</v>
      </c>
      <c r="G11" s="14">
        <v>154</v>
      </c>
      <c r="H11" s="14">
        <v>4</v>
      </c>
      <c r="I11" s="14">
        <f t="shared" si="2"/>
        <v>616</v>
      </c>
      <c r="J11" s="5">
        <f t="shared" si="0"/>
        <v>92.399999999999991</v>
      </c>
      <c r="K11" s="40">
        <f t="shared" si="1"/>
        <v>708.4</v>
      </c>
      <c r="L11" s="41"/>
      <c r="M11" s="42"/>
    </row>
    <row r="12" spans="1:13" x14ac:dyDescent="0.3">
      <c r="A12" s="20">
        <v>46025</v>
      </c>
      <c r="B12" s="14">
        <v>7</v>
      </c>
      <c r="C12" s="5" t="s">
        <v>11</v>
      </c>
      <c r="D12" s="5" t="s">
        <v>82</v>
      </c>
      <c r="E12" s="5" t="s">
        <v>23</v>
      </c>
      <c r="F12" s="14">
        <v>50</v>
      </c>
      <c r="G12" s="14">
        <v>297</v>
      </c>
      <c r="H12" s="14">
        <v>50</v>
      </c>
      <c r="I12" s="14">
        <f t="shared" si="2"/>
        <v>14850</v>
      </c>
      <c r="J12" s="5">
        <f t="shared" si="0"/>
        <v>2227.5</v>
      </c>
      <c r="K12" s="17">
        <f t="shared" si="1"/>
        <v>17077.5</v>
      </c>
      <c r="L12" s="18"/>
      <c r="M12" s="19"/>
    </row>
    <row r="13" spans="1:13" x14ac:dyDescent="0.3">
      <c r="A13" s="20">
        <v>46025</v>
      </c>
      <c r="B13" s="14">
        <v>7</v>
      </c>
      <c r="C13" s="5" t="s">
        <v>11</v>
      </c>
      <c r="D13" s="5" t="s">
        <v>82</v>
      </c>
      <c r="E13" s="14" t="s">
        <v>25</v>
      </c>
      <c r="F13" s="14">
        <v>10</v>
      </c>
      <c r="G13" s="14">
        <v>20</v>
      </c>
      <c r="H13" s="14">
        <v>231.61</v>
      </c>
      <c r="I13" s="14">
        <f t="shared" si="2"/>
        <v>4632.2000000000007</v>
      </c>
      <c r="J13" s="5">
        <f t="shared" si="0"/>
        <v>694.83</v>
      </c>
      <c r="K13" s="17">
        <f t="shared" si="1"/>
        <v>5327.0300000000007</v>
      </c>
      <c r="L13" s="18"/>
      <c r="M13" s="19"/>
    </row>
    <row r="14" spans="1:13" x14ac:dyDescent="0.3">
      <c r="A14" s="20">
        <v>46026</v>
      </c>
      <c r="B14" s="14">
        <v>8</v>
      </c>
      <c r="C14" s="5" t="s">
        <v>11</v>
      </c>
      <c r="D14" s="14" t="s">
        <v>26</v>
      </c>
      <c r="E14" s="14" t="s">
        <v>27</v>
      </c>
      <c r="F14" s="14">
        <v>50</v>
      </c>
      <c r="G14" s="14">
        <v>345</v>
      </c>
      <c r="H14" s="14">
        <v>50</v>
      </c>
      <c r="I14" s="14">
        <f t="shared" si="2"/>
        <v>17250</v>
      </c>
      <c r="J14" s="5">
        <f t="shared" si="0"/>
        <v>2587.5</v>
      </c>
      <c r="K14" s="40">
        <f t="shared" si="1"/>
        <v>19837.5</v>
      </c>
      <c r="L14" s="41"/>
      <c r="M14" s="19"/>
    </row>
    <row r="15" spans="1:13" x14ac:dyDescent="0.3">
      <c r="A15" s="20">
        <v>46026</v>
      </c>
      <c r="B15" s="14">
        <v>8</v>
      </c>
      <c r="C15" s="5" t="s">
        <v>11</v>
      </c>
      <c r="D15" s="14" t="s">
        <v>26</v>
      </c>
      <c r="E15" s="14" t="s">
        <v>12</v>
      </c>
      <c r="F15" s="14">
        <v>4</v>
      </c>
      <c r="G15" s="14">
        <v>424</v>
      </c>
      <c r="H15" s="14">
        <v>4</v>
      </c>
      <c r="I15" s="14">
        <f t="shared" si="2"/>
        <v>1696</v>
      </c>
      <c r="J15" s="5">
        <f t="shared" si="0"/>
        <v>254.39999999999998</v>
      </c>
      <c r="K15" s="40">
        <f t="shared" si="1"/>
        <v>1950.4</v>
      </c>
      <c r="L15" s="41"/>
      <c r="M15" s="19"/>
    </row>
    <row r="16" spans="1:13" x14ac:dyDescent="0.3">
      <c r="A16" s="20">
        <v>46026</v>
      </c>
      <c r="B16" s="14">
        <v>8</v>
      </c>
      <c r="C16" s="5" t="s">
        <v>11</v>
      </c>
      <c r="D16" s="14" t="s">
        <v>26</v>
      </c>
      <c r="E16" s="14" t="s">
        <v>28</v>
      </c>
      <c r="F16" s="14">
        <v>26</v>
      </c>
      <c r="G16" s="14">
        <v>424</v>
      </c>
      <c r="H16" s="14">
        <v>26</v>
      </c>
      <c r="I16" s="14">
        <f t="shared" si="2"/>
        <v>11024</v>
      </c>
      <c r="J16" s="5">
        <f t="shared" si="0"/>
        <v>1653.6</v>
      </c>
      <c r="K16" s="40">
        <f t="shared" si="1"/>
        <v>12677.6</v>
      </c>
      <c r="L16" s="41"/>
      <c r="M16" s="19"/>
    </row>
    <row r="17" spans="1:13" x14ac:dyDescent="0.3">
      <c r="A17" s="20">
        <v>46026</v>
      </c>
      <c r="B17" s="14">
        <v>9</v>
      </c>
      <c r="C17" s="5" t="s">
        <v>11</v>
      </c>
      <c r="D17" s="14" t="s">
        <v>29</v>
      </c>
      <c r="E17" s="14" t="s">
        <v>16</v>
      </c>
      <c r="F17" s="14">
        <v>175</v>
      </c>
      <c r="G17" s="14">
        <v>345</v>
      </c>
      <c r="H17" s="14">
        <v>175</v>
      </c>
      <c r="I17" s="14">
        <f t="shared" si="2"/>
        <v>60375</v>
      </c>
      <c r="J17" s="5">
        <f t="shared" si="0"/>
        <v>9056.25</v>
      </c>
      <c r="K17" s="17">
        <f t="shared" si="1"/>
        <v>69431.25</v>
      </c>
      <c r="L17" s="18"/>
      <c r="M17" s="19"/>
    </row>
    <row r="18" spans="1:13" x14ac:dyDescent="0.3">
      <c r="A18" s="20">
        <v>46026</v>
      </c>
      <c r="B18" s="14">
        <v>9</v>
      </c>
      <c r="C18" s="5" t="s">
        <v>11</v>
      </c>
      <c r="D18" s="14" t="s">
        <v>29</v>
      </c>
      <c r="E18" s="14" t="s">
        <v>30</v>
      </c>
      <c r="F18" s="14">
        <v>125</v>
      </c>
      <c r="G18" s="14">
        <v>345</v>
      </c>
      <c r="H18" s="14">
        <v>125</v>
      </c>
      <c r="I18" s="14">
        <f t="shared" si="2"/>
        <v>43125</v>
      </c>
      <c r="J18" s="5">
        <f t="shared" si="0"/>
        <v>6468.75</v>
      </c>
      <c r="K18" s="17">
        <f t="shared" si="1"/>
        <v>49593.75</v>
      </c>
      <c r="L18" s="18"/>
      <c r="M18" s="19"/>
    </row>
    <row r="19" spans="1:13" x14ac:dyDescent="0.3">
      <c r="A19" s="20">
        <v>46026</v>
      </c>
      <c r="B19" s="14">
        <v>10</v>
      </c>
      <c r="C19" s="5" t="s">
        <v>11</v>
      </c>
      <c r="D19" s="14" t="s">
        <v>45</v>
      </c>
      <c r="E19" s="5" t="s">
        <v>55</v>
      </c>
      <c r="F19" s="14">
        <v>58</v>
      </c>
      <c r="G19" s="14">
        <v>168</v>
      </c>
      <c r="H19" s="14">
        <v>58</v>
      </c>
      <c r="I19" s="14">
        <f t="shared" si="2"/>
        <v>9744</v>
      </c>
      <c r="J19" s="5">
        <f t="shared" si="0"/>
        <v>1461.6</v>
      </c>
      <c r="K19" s="40">
        <f t="shared" si="1"/>
        <v>11205.6</v>
      </c>
      <c r="L19" s="41"/>
      <c r="M19" s="42"/>
    </row>
    <row r="20" spans="1:13" x14ac:dyDescent="0.3">
      <c r="A20" s="20">
        <v>46026</v>
      </c>
      <c r="B20" s="5">
        <v>11</v>
      </c>
      <c r="C20" s="5" t="s">
        <v>11</v>
      </c>
      <c r="D20" s="14" t="s">
        <v>46</v>
      </c>
      <c r="E20" s="5" t="s">
        <v>47</v>
      </c>
      <c r="F20" s="6">
        <v>15</v>
      </c>
      <c r="G20" s="6">
        <v>774</v>
      </c>
      <c r="H20" s="6">
        <v>15</v>
      </c>
      <c r="I20" s="14">
        <f t="shared" si="2"/>
        <v>11610</v>
      </c>
      <c r="J20" s="6">
        <f t="shared" si="0"/>
        <v>1741.5</v>
      </c>
      <c r="K20" s="43">
        <f t="shared" si="1"/>
        <v>13351.5</v>
      </c>
      <c r="L20" s="41"/>
      <c r="M20" s="42"/>
    </row>
    <row r="21" spans="1:13" x14ac:dyDescent="0.3">
      <c r="A21" s="20">
        <v>46026</v>
      </c>
      <c r="B21" s="14">
        <v>11</v>
      </c>
      <c r="C21" s="5" t="s">
        <v>11</v>
      </c>
      <c r="D21" s="14" t="s">
        <v>46</v>
      </c>
      <c r="E21" s="14" t="s">
        <v>48</v>
      </c>
      <c r="F21" s="15">
        <v>15</v>
      </c>
      <c r="G21" s="14">
        <v>675</v>
      </c>
      <c r="H21" s="14">
        <v>15</v>
      </c>
      <c r="I21" s="14">
        <f t="shared" si="2"/>
        <v>10125</v>
      </c>
      <c r="J21" s="6">
        <f t="shared" si="0"/>
        <v>1518.75</v>
      </c>
      <c r="K21" s="43">
        <f t="shared" si="1"/>
        <v>11643.75</v>
      </c>
      <c r="L21" s="44"/>
      <c r="M21" s="42"/>
    </row>
    <row r="22" spans="1:13" x14ac:dyDescent="0.3">
      <c r="A22" s="20">
        <v>46027</v>
      </c>
      <c r="B22" s="5">
        <v>12</v>
      </c>
      <c r="C22" s="5" t="s">
        <v>11</v>
      </c>
      <c r="D22" s="5" t="s">
        <v>15</v>
      </c>
      <c r="E22" s="5" t="s">
        <v>49</v>
      </c>
      <c r="F22" s="6">
        <v>50</v>
      </c>
      <c r="G22" s="6">
        <v>152</v>
      </c>
      <c r="H22" s="6">
        <v>50</v>
      </c>
      <c r="I22" s="14">
        <f>H22*G22</f>
        <v>7600</v>
      </c>
      <c r="J22" s="6">
        <f t="shared" si="0"/>
        <v>1140</v>
      </c>
      <c r="K22" s="43">
        <f t="shared" si="1"/>
        <v>8740</v>
      </c>
      <c r="L22" s="44"/>
      <c r="M22" s="42"/>
    </row>
    <row r="23" spans="1:13" x14ac:dyDescent="0.3">
      <c r="A23" s="20">
        <v>46027</v>
      </c>
      <c r="B23" s="5">
        <v>13</v>
      </c>
      <c r="C23" s="5" t="s">
        <v>11</v>
      </c>
      <c r="D23" s="5" t="s">
        <v>50</v>
      </c>
      <c r="E23" s="5" t="s">
        <v>51</v>
      </c>
      <c r="F23" s="6">
        <v>5</v>
      </c>
      <c r="G23" s="6">
        <v>657</v>
      </c>
      <c r="H23" s="6">
        <v>5</v>
      </c>
      <c r="I23" s="14">
        <f>H23*G23</f>
        <v>3285</v>
      </c>
      <c r="J23" s="6">
        <f t="shared" si="0"/>
        <v>492.75</v>
      </c>
      <c r="K23" s="43">
        <f t="shared" si="1"/>
        <v>3777.75</v>
      </c>
      <c r="L23" s="44"/>
      <c r="M23" s="42"/>
    </row>
    <row r="24" spans="1:13" x14ac:dyDescent="0.3">
      <c r="A24" s="20">
        <v>46027</v>
      </c>
      <c r="B24" s="5">
        <v>14</v>
      </c>
      <c r="C24" s="5" t="s">
        <v>11</v>
      </c>
      <c r="D24" s="5" t="s">
        <v>22</v>
      </c>
      <c r="E24" s="14" t="s">
        <v>49</v>
      </c>
      <c r="F24" s="6">
        <v>100</v>
      </c>
      <c r="G24" s="6">
        <v>154</v>
      </c>
      <c r="H24" s="15">
        <v>100</v>
      </c>
      <c r="I24" s="14">
        <f t="shared" si="2"/>
        <v>15400</v>
      </c>
      <c r="J24" s="6">
        <f t="shared" si="0"/>
        <v>2310</v>
      </c>
      <c r="K24" s="43">
        <f t="shared" si="1"/>
        <v>17710</v>
      </c>
      <c r="L24" s="44"/>
      <c r="M24" s="46"/>
    </row>
    <row r="25" spans="1:13" x14ac:dyDescent="0.3">
      <c r="A25" s="20">
        <v>46027</v>
      </c>
      <c r="B25" s="5">
        <v>15</v>
      </c>
      <c r="C25" s="5" t="s">
        <v>11</v>
      </c>
      <c r="D25" s="5" t="s">
        <v>15</v>
      </c>
      <c r="E25" s="14" t="s">
        <v>53</v>
      </c>
      <c r="F25" s="6">
        <v>10</v>
      </c>
      <c r="G25" s="6">
        <v>46.5</v>
      </c>
      <c r="H25" s="16">
        <v>139.89400000000001</v>
      </c>
      <c r="I25" s="14">
        <f t="shared" si="2"/>
        <v>6505.0709999999999</v>
      </c>
      <c r="J25" s="6">
        <f t="shared" si="0"/>
        <v>975.76064999999994</v>
      </c>
      <c r="K25" s="43">
        <f t="shared" si="1"/>
        <v>7480.8316500000001</v>
      </c>
      <c r="L25" s="44"/>
      <c r="M25" s="42"/>
    </row>
    <row r="26" spans="1:13" x14ac:dyDescent="0.3">
      <c r="A26" s="20">
        <v>46027</v>
      </c>
      <c r="B26" s="5">
        <v>16</v>
      </c>
      <c r="C26" s="5" t="s">
        <v>11</v>
      </c>
      <c r="D26" s="5" t="s">
        <v>54</v>
      </c>
      <c r="E26" s="14" t="s">
        <v>49</v>
      </c>
      <c r="F26" s="6">
        <v>150</v>
      </c>
      <c r="G26" s="6">
        <v>150</v>
      </c>
      <c r="H26" s="15">
        <v>150</v>
      </c>
      <c r="I26" s="14">
        <f t="shared" si="2"/>
        <v>22500</v>
      </c>
      <c r="J26" s="6">
        <f t="shared" si="0"/>
        <v>3375</v>
      </c>
      <c r="K26" s="9">
        <f t="shared" si="1"/>
        <v>25875</v>
      </c>
      <c r="L26" s="10"/>
      <c r="M26" s="19"/>
    </row>
    <row r="27" spans="1:13" x14ac:dyDescent="0.3">
      <c r="A27" s="20">
        <v>46029</v>
      </c>
      <c r="B27" s="5">
        <v>17</v>
      </c>
      <c r="C27" s="5" t="s">
        <v>11</v>
      </c>
      <c r="D27" s="5" t="s">
        <v>15</v>
      </c>
      <c r="E27" s="5" t="s">
        <v>49</v>
      </c>
      <c r="F27" s="6">
        <v>150</v>
      </c>
      <c r="G27" s="6">
        <v>152</v>
      </c>
      <c r="H27" s="15">
        <v>150</v>
      </c>
      <c r="I27" s="6">
        <f t="shared" si="2"/>
        <v>22800</v>
      </c>
      <c r="J27" s="6">
        <f t="shared" si="0"/>
        <v>3420</v>
      </c>
      <c r="K27" s="9">
        <f t="shared" si="1"/>
        <v>26220</v>
      </c>
      <c r="L27" s="10"/>
      <c r="M27" s="19"/>
    </row>
    <row r="28" spans="1:13" x14ac:dyDescent="0.3">
      <c r="A28" s="20">
        <v>46029</v>
      </c>
      <c r="B28" s="5">
        <v>18</v>
      </c>
      <c r="C28" s="5" t="s">
        <v>11</v>
      </c>
      <c r="D28" s="5" t="s">
        <v>58</v>
      </c>
      <c r="E28" s="5" t="s">
        <v>59</v>
      </c>
      <c r="F28" s="6">
        <v>1</v>
      </c>
      <c r="G28" s="6">
        <v>290</v>
      </c>
      <c r="H28" s="6">
        <v>1</v>
      </c>
      <c r="I28" s="6">
        <f t="shared" si="2"/>
        <v>290</v>
      </c>
      <c r="J28" s="6">
        <f t="shared" si="0"/>
        <v>43.5</v>
      </c>
      <c r="K28" s="54">
        <f t="shared" si="1"/>
        <v>333.5</v>
      </c>
      <c r="L28" s="55"/>
      <c r="M28" s="56"/>
    </row>
    <row r="29" spans="1:13" x14ac:dyDescent="0.3">
      <c r="A29" s="20">
        <v>46029</v>
      </c>
      <c r="B29" s="5">
        <v>19</v>
      </c>
      <c r="C29" s="5" t="s">
        <v>11</v>
      </c>
      <c r="D29" s="14" t="s">
        <v>13</v>
      </c>
      <c r="E29" s="5" t="s">
        <v>60</v>
      </c>
      <c r="F29" s="6">
        <v>2396</v>
      </c>
      <c r="G29" s="6">
        <v>165</v>
      </c>
      <c r="H29" s="15">
        <v>2396</v>
      </c>
      <c r="I29" s="6">
        <f t="shared" si="2"/>
        <v>395340</v>
      </c>
      <c r="J29" s="6">
        <f t="shared" si="0"/>
        <v>59301</v>
      </c>
      <c r="K29" s="43">
        <f t="shared" si="1"/>
        <v>454641</v>
      </c>
      <c r="L29" s="44"/>
    </row>
    <row r="30" spans="1:13" x14ac:dyDescent="0.3">
      <c r="A30" s="20">
        <v>46029</v>
      </c>
      <c r="B30" s="5">
        <v>20</v>
      </c>
      <c r="C30" s="5" t="s">
        <v>11</v>
      </c>
      <c r="D30" s="5" t="s">
        <v>15</v>
      </c>
      <c r="E30" s="5" t="s">
        <v>61</v>
      </c>
      <c r="F30" s="6">
        <v>50</v>
      </c>
      <c r="G30" s="6">
        <v>63</v>
      </c>
      <c r="H30" s="15">
        <v>50</v>
      </c>
      <c r="I30" s="6">
        <f t="shared" si="2"/>
        <v>3150</v>
      </c>
      <c r="J30" s="6">
        <f t="shared" si="0"/>
        <v>472.5</v>
      </c>
      <c r="K30" s="9">
        <f t="shared" si="1"/>
        <v>3622.5</v>
      </c>
      <c r="L30" s="10"/>
      <c r="M30" s="19"/>
    </row>
    <row r="31" spans="1:13" x14ac:dyDescent="0.3">
      <c r="A31" s="20">
        <v>46030</v>
      </c>
      <c r="B31" s="5">
        <v>21</v>
      </c>
      <c r="C31" s="5" t="s">
        <v>11</v>
      </c>
      <c r="D31" s="5" t="s">
        <v>22</v>
      </c>
      <c r="E31" s="5" t="s">
        <v>64</v>
      </c>
      <c r="F31" s="6">
        <v>100</v>
      </c>
      <c r="G31" s="6">
        <v>415</v>
      </c>
      <c r="H31" s="15">
        <v>100</v>
      </c>
      <c r="I31" s="6">
        <f t="shared" si="2"/>
        <v>41500</v>
      </c>
      <c r="J31" s="6">
        <f t="shared" si="0"/>
        <v>6225</v>
      </c>
      <c r="K31" s="43">
        <f t="shared" si="1"/>
        <v>47725</v>
      </c>
      <c r="L31" s="44"/>
      <c r="M31" s="46"/>
    </row>
    <row r="32" spans="1:13" x14ac:dyDescent="0.3">
      <c r="A32" s="20">
        <v>46030</v>
      </c>
      <c r="B32" s="5">
        <v>22</v>
      </c>
      <c r="C32" s="5" t="s">
        <v>11</v>
      </c>
      <c r="D32" s="5" t="s">
        <v>65</v>
      </c>
      <c r="E32" s="5" t="s">
        <v>59</v>
      </c>
      <c r="F32" s="6">
        <v>50</v>
      </c>
      <c r="G32" s="6">
        <v>295</v>
      </c>
      <c r="H32" s="15">
        <v>50</v>
      </c>
      <c r="I32" s="6">
        <f t="shared" si="2"/>
        <v>14750</v>
      </c>
      <c r="J32" s="6">
        <f t="shared" si="0"/>
        <v>2212.5</v>
      </c>
      <c r="K32" s="43">
        <f t="shared" si="1"/>
        <v>16962.5</v>
      </c>
      <c r="L32" s="44"/>
      <c r="M32" s="65"/>
    </row>
    <row r="33" spans="1:13" x14ac:dyDescent="0.3">
      <c r="A33" s="20">
        <v>46032</v>
      </c>
      <c r="B33" s="5">
        <v>23</v>
      </c>
      <c r="C33" s="5" t="s">
        <v>11</v>
      </c>
      <c r="D33" s="14" t="s">
        <v>72</v>
      </c>
      <c r="E33" s="5" t="s">
        <v>73</v>
      </c>
      <c r="F33" s="6">
        <v>30</v>
      </c>
      <c r="G33" s="6">
        <v>415</v>
      </c>
      <c r="H33" s="15">
        <v>30</v>
      </c>
      <c r="I33" s="6">
        <f t="shared" si="2"/>
        <v>12450</v>
      </c>
      <c r="J33" s="6">
        <f t="shared" si="0"/>
        <v>1867.5</v>
      </c>
      <c r="K33" s="48">
        <f t="shared" si="1"/>
        <v>14317.5</v>
      </c>
      <c r="L33" s="49"/>
      <c r="M33" s="50"/>
    </row>
    <row r="34" spans="1:13" x14ac:dyDescent="0.3">
      <c r="A34" s="20">
        <v>46032</v>
      </c>
      <c r="B34" s="5">
        <v>24</v>
      </c>
      <c r="C34" s="5" t="s">
        <v>11</v>
      </c>
      <c r="D34" s="5" t="s">
        <v>19</v>
      </c>
      <c r="E34" s="5" t="s">
        <v>21</v>
      </c>
      <c r="F34" s="6">
        <v>50</v>
      </c>
      <c r="G34" s="6">
        <v>420</v>
      </c>
      <c r="H34" s="6">
        <v>50</v>
      </c>
      <c r="I34" s="6">
        <f t="shared" si="2"/>
        <v>21000</v>
      </c>
      <c r="J34" s="6">
        <f t="shared" si="0"/>
        <v>3150</v>
      </c>
      <c r="K34" s="9">
        <f t="shared" si="1"/>
        <v>24150</v>
      </c>
      <c r="L34" s="10"/>
    </row>
    <row r="35" spans="1:13" x14ac:dyDescent="0.3">
      <c r="A35" s="20">
        <v>46032</v>
      </c>
      <c r="B35" s="5">
        <v>24</v>
      </c>
      <c r="C35" s="5" t="s">
        <v>11</v>
      </c>
      <c r="D35" s="5" t="s">
        <v>19</v>
      </c>
      <c r="E35" s="5" t="s">
        <v>64</v>
      </c>
      <c r="F35" s="6">
        <v>5</v>
      </c>
      <c r="G35" s="6">
        <v>415</v>
      </c>
      <c r="H35" s="6">
        <v>5</v>
      </c>
      <c r="I35" s="6">
        <f t="shared" si="2"/>
        <v>2075</v>
      </c>
      <c r="J35" s="6">
        <f t="shared" si="0"/>
        <v>311.25</v>
      </c>
      <c r="K35" s="9">
        <f t="shared" si="1"/>
        <v>2386.25</v>
      </c>
      <c r="L35" s="10"/>
    </row>
    <row r="36" spans="1:13" x14ac:dyDescent="0.3">
      <c r="A36" s="20">
        <v>46032</v>
      </c>
      <c r="B36" s="5">
        <v>25</v>
      </c>
      <c r="C36" s="5" t="s">
        <v>11</v>
      </c>
      <c r="D36" s="14" t="s">
        <v>58</v>
      </c>
      <c r="E36" s="5" t="s">
        <v>30</v>
      </c>
      <c r="F36" s="6">
        <v>1</v>
      </c>
      <c r="G36" s="6">
        <v>350</v>
      </c>
      <c r="H36" s="6">
        <v>1</v>
      </c>
      <c r="I36" s="6">
        <f t="shared" si="2"/>
        <v>350</v>
      </c>
      <c r="J36" s="6">
        <f t="shared" si="0"/>
        <v>52.5</v>
      </c>
      <c r="K36" s="43">
        <f t="shared" si="1"/>
        <v>402.5</v>
      </c>
      <c r="L36" s="44"/>
    </row>
    <row r="37" spans="1:13" x14ac:dyDescent="0.3">
      <c r="A37" s="20">
        <v>46035</v>
      </c>
      <c r="B37" s="5">
        <v>26</v>
      </c>
      <c r="C37" s="5" t="s">
        <v>11</v>
      </c>
      <c r="D37" s="5" t="s">
        <v>85</v>
      </c>
      <c r="E37" s="5" t="s">
        <v>74</v>
      </c>
      <c r="F37" s="6">
        <v>380</v>
      </c>
      <c r="G37" s="6">
        <v>290</v>
      </c>
      <c r="H37" s="6">
        <v>380</v>
      </c>
      <c r="I37" s="6">
        <f t="shared" si="2"/>
        <v>110200</v>
      </c>
      <c r="J37" s="6">
        <f t="shared" si="0"/>
        <v>16530</v>
      </c>
      <c r="K37" s="9">
        <f t="shared" si="1"/>
        <v>126730</v>
      </c>
      <c r="L37" s="10"/>
    </row>
    <row r="38" spans="1:13" x14ac:dyDescent="0.3">
      <c r="A38" s="20">
        <v>46035</v>
      </c>
      <c r="B38" s="5">
        <v>26</v>
      </c>
      <c r="C38" s="5" t="s">
        <v>11</v>
      </c>
      <c r="D38" s="5" t="s">
        <v>85</v>
      </c>
      <c r="E38" s="5" t="s">
        <v>86</v>
      </c>
      <c r="F38" s="6">
        <v>290</v>
      </c>
      <c r="G38" s="6">
        <v>290</v>
      </c>
      <c r="H38" s="6">
        <v>290</v>
      </c>
      <c r="I38" s="6">
        <f t="shared" si="2"/>
        <v>84100</v>
      </c>
      <c r="J38" s="6">
        <f t="shared" si="0"/>
        <v>12615</v>
      </c>
      <c r="K38" s="9">
        <f t="shared" si="1"/>
        <v>96715</v>
      </c>
      <c r="L38" s="10"/>
    </row>
    <row r="39" spans="1:13" x14ac:dyDescent="0.3">
      <c r="A39" s="20">
        <v>46033</v>
      </c>
      <c r="B39" s="5">
        <v>27</v>
      </c>
      <c r="C39" s="5" t="s">
        <v>11</v>
      </c>
      <c r="D39" s="14" t="s">
        <v>75</v>
      </c>
      <c r="E39" s="5" t="s">
        <v>76</v>
      </c>
      <c r="F39" s="6">
        <v>25</v>
      </c>
      <c r="G39" s="6">
        <v>62.5</v>
      </c>
      <c r="H39" s="6">
        <v>25</v>
      </c>
      <c r="I39" s="6">
        <f t="shared" si="2"/>
        <v>1562.5</v>
      </c>
      <c r="J39" s="6">
        <f t="shared" si="0"/>
        <v>234.375</v>
      </c>
      <c r="K39" s="58">
        <f t="shared" si="1"/>
        <v>1796.875</v>
      </c>
      <c r="L39" s="59"/>
      <c r="M39" s="60"/>
    </row>
    <row r="40" spans="1:13" x14ac:dyDescent="0.3">
      <c r="A40" s="20">
        <v>46033</v>
      </c>
      <c r="B40" s="5">
        <v>28</v>
      </c>
      <c r="C40" s="5" t="s">
        <v>11</v>
      </c>
      <c r="D40" s="14" t="s">
        <v>46</v>
      </c>
      <c r="E40" s="14" t="s">
        <v>77</v>
      </c>
      <c r="F40" s="6">
        <v>250</v>
      </c>
      <c r="G40" s="6">
        <v>43</v>
      </c>
      <c r="H40" s="6">
        <v>250</v>
      </c>
      <c r="I40" s="6">
        <f t="shared" si="2"/>
        <v>10750</v>
      </c>
      <c r="J40" s="6">
        <f t="shared" si="0"/>
        <v>1612.5</v>
      </c>
      <c r="K40" s="43">
        <f t="shared" si="1"/>
        <v>12362.5</v>
      </c>
      <c r="L40" s="44"/>
      <c r="M40" s="42"/>
    </row>
    <row r="41" spans="1:13" x14ac:dyDescent="0.3">
      <c r="A41" s="20">
        <v>46033</v>
      </c>
      <c r="B41" s="5">
        <v>28</v>
      </c>
      <c r="C41" s="5" t="s">
        <v>11</v>
      </c>
      <c r="D41" s="5" t="s">
        <v>46</v>
      </c>
      <c r="E41" s="5" t="s">
        <v>78</v>
      </c>
      <c r="F41" s="6">
        <v>10</v>
      </c>
      <c r="G41" s="6">
        <v>828</v>
      </c>
      <c r="H41" s="6">
        <v>10</v>
      </c>
      <c r="I41" s="6">
        <f t="shared" si="2"/>
        <v>8280</v>
      </c>
      <c r="J41" s="6">
        <f t="shared" si="0"/>
        <v>1242</v>
      </c>
      <c r="K41" s="43">
        <f t="shared" si="1"/>
        <v>9522</v>
      </c>
      <c r="L41" s="44"/>
      <c r="M41" s="42"/>
    </row>
    <row r="42" spans="1:13" x14ac:dyDescent="0.3">
      <c r="A42" s="20">
        <v>46033</v>
      </c>
      <c r="B42" s="5">
        <v>28</v>
      </c>
      <c r="C42" s="5" t="s">
        <v>11</v>
      </c>
      <c r="D42" s="14" t="s">
        <v>46</v>
      </c>
      <c r="E42" s="5" t="s">
        <v>49</v>
      </c>
      <c r="F42" s="6">
        <v>5</v>
      </c>
      <c r="G42" s="6">
        <v>150</v>
      </c>
      <c r="H42" s="6">
        <v>5</v>
      </c>
      <c r="I42" s="6">
        <f t="shared" si="2"/>
        <v>750</v>
      </c>
      <c r="J42" s="6">
        <f t="shared" si="0"/>
        <v>112.5</v>
      </c>
      <c r="K42" s="43">
        <f t="shared" si="1"/>
        <v>862.5</v>
      </c>
      <c r="L42" s="44"/>
      <c r="M42" s="42"/>
    </row>
    <row r="43" spans="1:13" x14ac:dyDescent="0.3">
      <c r="A43" s="20">
        <v>46033</v>
      </c>
      <c r="B43" s="5">
        <v>29</v>
      </c>
      <c r="C43" s="5" t="s">
        <v>11</v>
      </c>
      <c r="D43" s="14" t="s">
        <v>72</v>
      </c>
      <c r="E43" s="5" t="s">
        <v>76</v>
      </c>
      <c r="F43" s="6">
        <v>15</v>
      </c>
      <c r="G43" s="6">
        <v>62.5</v>
      </c>
      <c r="H43" s="6">
        <v>15</v>
      </c>
      <c r="I43" s="6">
        <f t="shared" si="2"/>
        <v>937.5</v>
      </c>
      <c r="J43" s="6">
        <f t="shared" si="0"/>
        <v>140.625</v>
      </c>
      <c r="K43" s="51">
        <f t="shared" si="1"/>
        <v>1078.125</v>
      </c>
      <c r="L43" s="52"/>
      <c r="M43" s="53"/>
    </row>
    <row r="44" spans="1:13" x14ac:dyDescent="0.3">
      <c r="A44" s="20">
        <v>46034</v>
      </c>
      <c r="B44" s="5">
        <v>30</v>
      </c>
      <c r="C44" s="5" t="s">
        <v>11</v>
      </c>
      <c r="D44" s="14" t="s">
        <v>79</v>
      </c>
      <c r="E44" s="5" t="s">
        <v>80</v>
      </c>
      <c r="F44" s="6">
        <v>100</v>
      </c>
      <c r="G44" s="6">
        <v>305</v>
      </c>
      <c r="H44" s="6">
        <v>100</v>
      </c>
      <c r="I44" s="6">
        <f t="shared" si="2"/>
        <v>30500</v>
      </c>
      <c r="J44" s="6">
        <f t="shared" si="0"/>
        <v>4575</v>
      </c>
      <c r="K44" s="43">
        <f t="shared" si="1"/>
        <v>35075</v>
      </c>
      <c r="L44" s="44"/>
      <c r="M44" s="46"/>
    </row>
    <row r="45" spans="1:13" x14ac:dyDescent="0.3">
      <c r="A45" s="20">
        <v>46035</v>
      </c>
      <c r="B45" s="5">
        <v>31</v>
      </c>
      <c r="C45" s="5" t="s">
        <v>11</v>
      </c>
      <c r="D45" s="5" t="s">
        <v>26</v>
      </c>
      <c r="E45" s="5" t="s">
        <v>28</v>
      </c>
      <c r="F45" s="6">
        <v>10</v>
      </c>
      <c r="G45" s="6">
        <v>416</v>
      </c>
      <c r="H45" s="6">
        <v>10</v>
      </c>
      <c r="I45" s="6">
        <f t="shared" si="2"/>
        <v>4160</v>
      </c>
      <c r="J45" s="6">
        <f t="shared" si="0"/>
        <v>624</v>
      </c>
      <c r="K45" s="9">
        <f t="shared" si="1"/>
        <v>4784</v>
      </c>
      <c r="L45" s="10"/>
      <c r="M45" s="19"/>
    </row>
    <row r="46" spans="1:13" x14ac:dyDescent="0.3">
      <c r="A46" s="20">
        <v>46035</v>
      </c>
      <c r="B46" s="5">
        <v>31</v>
      </c>
      <c r="C46" s="5" t="s">
        <v>11</v>
      </c>
      <c r="D46" s="5" t="s">
        <v>26</v>
      </c>
      <c r="E46" s="5" t="s">
        <v>81</v>
      </c>
      <c r="F46" s="6">
        <v>36</v>
      </c>
      <c r="G46" s="6">
        <v>355</v>
      </c>
      <c r="H46" s="6">
        <v>36</v>
      </c>
      <c r="I46" s="6">
        <f t="shared" si="2"/>
        <v>12780</v>
      </c>
      <c r="J46" s="6">
        <f t="shared" si="0"/>
        <v>1917</v>
      </c>
      <c r="K46" s="9">
        <f t="shared" si="1"/>
        <v>14697</v>
      </c>
      <c r="L46" s="10"/>
    </row>
    <row r="47" spans="1:13" x14ac:dyDescent="0.3">
      <c r="A47" s="20">
        <v>46035</v>
      </c>
      <c r="B47" s="5">
        <v>32</v>
      </c>
      <c r="C47" s="5" t="s">
        <v>11</v>
      </c>
      <c r="D47" s="5" t="s">
        <v>82</v>
      </c>
      <c r="E47" s="14" t="s">
        <v>80</v>
      </c>
      <c r="F47" s="6">
        <v>25</v>
      </c>
      <c r="G47" s="6">
        <v>300</v>
      </c>
      <c r="H47" s="6">
        <v>25</v>
      </c>
      <c r="I47" s="6">
        <f t="shared" si="2"/>
        <v>7500</v>
      </c>
      <c r="J47" s="6">
        <f t="shared" si="0"/>
        <v>1125</v>
      </c>
      <c r="K47" s="9">
        <f t="shared" si="1"/>
        <v>8625</v>
      </c>
      <c r="L47" s="10"/>
    </row>
    <row r="48" spans="1:13" x14ac:dyDescent="0.3">
      <c r="A48" s="20">
        <v>46035</v>
      </c>
      <c r="B48" s="5">
        <v>32</v>
      </c>
      <c r="C48" s="5" t="s">
        <v>11</v>
      </c>
      <c r="D48" s="14" t="s">
        <v>82</v>
      </c>
      <c r="E48" s="5" t="s">
        <v>83</v>
      </c>
      <c r="F48" s="6">
        <v>25</v>
      </c>
      <c r="G48" s="6">
        <v>315</v>
      </c>
      <c r="H48" s="15">
        <v>25</v>
      </c>
      <c r="I48" s="6">
        <f t="shared" si="2"/>
        <v>7875</v>
      </c>
      <c r="J48" s="6">
        <f t="shared" si="0"/>
        <v>1181.25</v>
      </c>
      <c r="K48" s="9">
        <f t="shared" si="1"/>
        <v>9056.25</v>
      </c>
      <c r="L48" s="10"/>
    </row>
    <row r="49" spans="1:13" x14ac:dyDescent="0.3">
      <c r="A49" s="20">
        <v>46035</v>
      </c>
      <c r="B49" s="5">
        <v>33</v>
      </c>
      <c r="C49" s="5" t="s">
        <v>11</v>
      </c>
      <c r="D49" s="14" t="s">
        <v>84</v>
      </c>
      <c r="E49" s="5" t="s">
        <v>59</v>
      </c>
      <c r="F49" s="6">
        <v>20</v>
      </c>
      <c r="G49" s="6">
        <v>290</v>
      </c>
      <c r="H49" s="15">
        <v>20</v>
      </c>
      <c r="I49" s="6">
        <f t="shared" si="2"/>
        <v>5800</v>
      </c>
      <c r="J49" s="6">
        <f t="shared" si="0"/>
        <v>870</v>
      </c>
      <c r="K49" s="51">
        <f t="shared" si="1"/>
        <v>6670</v>
      </c>
      <c r="L49" s="52"/>
      <c r="M49" s="57"/>
    </row>
    <row r="50" spans="1:13" x14ac:dyDescent="0.3">
      <c r="A50" s="20">
        <v>46036</v>
      </c>
      <c r="B50" s="5">
        <v>34</v>
      </c>
      <c r="C50" s="5" t="s">
        <v>11</v>
      </c>
      <c r="D50" s="14" t="s">
        <v>87</v>
      </c>
      <c r="E50" s="5" t="s">
        <v>88</v>
      </c>
      <c r="F50" s="6">
        <v>50</v>
      </c>
      <c r="G50" s="6">
        <v>348</v>
      </c>
      <c r="H50" s="15">
        <v>50</v>
      </c>
      <c r="I50" s="6">
        <f t="shared" si="2"/>
        <v>17400</v>
      </c>
      <c r="J50" s="6">
        <f t="shared" si="0"/>
        <v>2610</v>
      </c>
      <c r="K50" s="9">
        <f t="shared" si="1"/>
        <v>20010</v>
      </c>
      <c r="L50" s="10"/>
    </row>
    <row r="51" spans="1:13" x14ac:dyDescent="0.3">
      <c r="A51" s="20">
        <v>46036</v>
      </c>
      <c r="B51" s="5">
        <v>34</v>
      </c>
      <c r="C51" s="5" t="s">
        <v>11</v>
      </c>
      <c r="D51" s="5" t="s">
        <v>87</v>
      </c>
      <c r="E51" s="5" t="s">
        <v>23</v>
      </c>
      <c r="F51" s="6">
        <v>39</v>
      </c>
      <c r="G51" s="6">
        <v>305</v>
      </c>
      <c r="H51" s="15">
        <v>39</v>
      </c>
      <c r="I51" s="6">
        <f t="shared" si="2"/>
        <v>11895</v>
      </c>
      <c r="J51" s="6">
        <f t="shared" si="0"/>
        <v>1784.25</v>
      </c>
      <c r="K51" s="9">
        <f t="shared" si="1"/>
        <v>13679.25</v>
      </c>
      <c r="L51" s="10"/>
    </row>
    <row r="52" spans="1:13" x14ac:dyDescent="0.3">
      <c r="A52" s="20">
        <v>46036</v>
      </c>
      <c r="B52" s="5">
        <v>34</v>
      </c>
      <c r="C52" s="5" t="s">
        <v>11</v>
      </c>
      <c r="D52" s="5" t="s">
        <v>87</v>
      </c>
      <c r="E52" s="5" t="s">
        <v>57</v>
      </c>
      <c r="F52" s="6">
        <v>61</v>
      </c>
      <c r="G52" s="6">
        <v>308</v>
      </c>
      <c r="H52" s="15">
        <v>61</v>
      </c>
      <c r="I52" s="6">
        <f t="shared" si="2"/>
        <v>18788</v>
      </c>
      <c r="J52" s="6">
        <f t="shared" si="0"/>
        <v>2818.2</v>
      </c>
      <c r="K52" s="9">
        <f t="shared" si="1"/>
        <v>21606.2</v>
      </c>
      <c r="L52" s="10"/>
      <c r="M52" s="19"/>
    </row>
    <row r="53" spans="1:13" x14ac:dyDescent="0.3">
      <c r="A53" s="20">
        <v>46036</v>
      </c>
      <c r="B53" s="5">
        <v>35</v>
      </c>
      <c r="C53" s="5" t="s">
        <v>11</v>
      </c>
      <c r="D53" s="5" t="s">
        <v>22</v>
      </c>
      <c r="E53" s="5" t="s">
        <v>88</v>
      </c>
      <c r="F53" s="6">
        <v>340</v>
      </c>
      <c r="G53" s="6">
        <v>345</v>
      </c>
      <c r="H53" s="15">
        <v>340</v>
      </c>
      <c r="I53" s="6">
        <f t="shared" si="2"/>
        <v>117300</v>
      </c>
      <c r="J53" s="6">
        <f t="shared" si="0"/>
        <v>17595</v>
      </c>
      <c r="K53" s="43">
        <f t="shared" si="1"/>
        <v>134895</v>
      </c>
      <c r="L53" s="44"/>
    </row>
    <row r="54" spans="1:13" x14ac:dyDescent="0.3">
      <c r="A54" s="20">
        <v>46036</v>
      </c>
      <c r="B54" s="5">
        <v>35</v>
      </c>
      <c r="C54" s="5" t="s">
        <v>11</v>
      </c>
      <c r="D54" s="14" t="s">
        <v>22</v>
      </c>
      <c r="E54" s="14" t="s">
        <v>89</v>
      </c>
      <c r="F54" s="6">
        <v>99</v>
      </c>
      <c r="G54" s="6">
        <v>345</v>
      </c>
      <c r="H54" s="6">
        <v>99</v>
      </c>
      <c r="I54" s="6">
        <f t="shared" si="2"/>
        <v>34155</v>
      </c>
      <c r="J54" s="6">
        <f t="shared" si="0"/>
        <v>5123.25</v>
      </c>
      <c r="K54" s="43">
        <f t="shared" si="1"/>
        <v>39278.25</v>
      </c>
      <c r="L54" s="44"/>
    </row>
    <row r="55" spans="1:13" x14ac:dyDescent="0.3">
      <c r="A55" s="20">
        <v>46036</v>
      </c>
      <c r="B55" s="5">
        <v>36</v>
      </c>
      <c r="C55" s="5" t="s">
        <v>11</v>
      </c>
      <c r="D55" s="14" t="s">
        <v>22</v>
      </c>
      <c r="E55" s="14" t="s">
        <v>28</v>
      </c>
      <c r="F55" s="6">
        <v>75</v>
      </c>
      <c r="G55" s="6">
        <v>412</v>
      </c>
      <c r="H55" s="6">
        <v>75</v>
      </c>
      <c r="I55" s="6">
        <f t="shared" si="2"/>
        <v>30900</v>
      </c>
      <c r="J55" s="6">
        <f t="shared" si="0"/>
        <v>4635</v>
      </c>
      <c r="K55" s="43">
        <f t="shared" si="1"/>
        <v>35535</v>
      </c>
      <c r="L55" s="44"/>
      <c r="M55" s="46"/>
    </row>
    <row r="56" spans="1:13" x14ac:dyDescent="0.3">
      <c r="A56" s="20">
        <v>46036</v>
      </c>
      <c r="B56" s="5">
        <v>37</v>
      </c>
      <c r="C56" s="5" t="s">
        <v>11</v>
      </c>
      <c r="D56" s="14" t="s">
        <v>54</v>
      </c>
      <c r="E56" s="14" t="s">
        <v>49</v>
      </c>
      <c r="F56" s="6">
        <v>393</v>
      </c>
      <c r="G56" s="6">
        <v>150</v>
      </c>
      <c r="H56" s="6">
        <v>393</v>
      </c>
      <c r="I56" s="6">
        <f t="shared" si="2"/>
        <v>58950</v>
      </c>
      <c r="J56" s="6">
        <f t="shared" si="0"/>
        <v>8842.5</v>
      </c>
      <c r="K56" s="9">
        <f t="shared" si="1"/>
        <v>67792.5</v>
      </c>
      <c r="L56" s="10"/>
    </row>
    <row r="57" spans="1:13" x14ac:dyDescent="0.3">
      <c r="A57" s="20">
        <v>46037</v>
      </c>
      <c r="B57" s="5">
        <v>38</v>
      </c>
      <c r="C57" s="5" t="s">
        <v>11</v>
      </c>
      <c r="D57" s="14" t="s">
        <v>58</v>
      </c>
      <c r="E57" s="5" t="s">
        <v>59</v>
      </c>
      <c r="F57" s="6">
        <v>2</v>
      </c>
      <c r="G57" s="6">
        <v>290</v>
      </c>
      <c r="H57" s="6">
        <v>2</v>
      </c>
      <c r="I57" s="6">
        <f t="shared" si="2"/>
        <v>580</v>
      </c>
      <c r="J57" s="6">
        <f t="shared" si="0"/>
        <v>87</v>
      </c>
      <c r="K57" s="66">
        <f t="shared" si="1"/>
        <v>667</v>
      </c>
      <c r="L57" s="67"/>
      <c r="M57" s="68"/>
    </row>
    <row r="58" spans="1:13" x14ac:dyDescent="0.3">
      <c r="A58" s="20">
        <v>46037</v>
      </c>
      <c r="B58" s="5">
        <v>39</v>
      </c>
      <c r="C58" s="5" t="s">
        <v>11</v>
      </c>
      <c r="D58" s="5" t="s">
        <v>90</v>
      </c>
      <c r="E58" s="5" t="s">
        <v>55</v>
      </c>
      <c r="F58" s="6">
        <v>50</v>
      </c>
      <c r="G58" s="6">
        <v>169</v>
      </c>
      <c r="H58" s="6">
        <v>50</v>
      </c>
      <c r="I58" s="6">
        <f t="shared" si="2"/>
        <v>8450</v>
      </c>
      <c r="J58" s="6">
        <f t="shared" si="0"/>
        <v>1267.5</v>
      </c>
      <c r="K58" s="43">
        <f t="shared" si="1"/>
        <v>9717.5</v>
      </c>
      <c r="L58" s="44"/>
      <c r="M58" s="46"/>
    </row>
    <row r="59" spans="1:13" x14ac:dyDescent="0.3">
      <c r="A59" s="20">
        <v>46039</v>
      </c>
      <c r="B59" s="5">
        <v>40</v>
      </c>
      <c r="C59" s="5" t="s">
        <v>11</v>
      </c>
      <c r="D59" s="5" t="s">
        <v>72</v>
      </c>
      <c r="E59" s="5" t="s">
        <v>21</v>
      </c>
      <c r="F59" s="6">
        <v>30</v>
      </c>
      <c r="G59" s="6">
        <v>426</v>
      </c>
      <c r="H59" s="6">
        <v>30</v>
      </c>
      <c r="I59" s="6">
        <f t="shared" si="2"/>
        <v>12780</v>
      </c>
      <c r="J59" s="6">
        <f t="shared" si="0"/>
        <v>1917</v>
      </c>
      <c r="K59" s="61">
        <f t="shared" si="1"/>
        <v>14697</v>
      </c>
      <c r="L59" s="62"/>
      <c r="M59" s="63"/>
    </row>
    <row r="60" spans="1:13" x14ac:dyDescent="0.3">
      <c r="A60" s="20">
        <v>46039</v>
      </c>
      <c r="B60" s="5">
        <v>41</v>
      </c>
      <c r="C60" s="5" t="s">
        <v>11</v>
      </c>
      <c r="D60" s="5" t="s">
        <v>22</v>
      </c>
      <c r="E60" s="5" t="s">
        <v>21</v>
      </c>
      <c r="F60" s="6">
        <v>20</v>
      </c>
      <c r="G60" s="6">
        <v>425</v>
      </c>
      <c r="H60" s="6">
        <v>20</v>
      </c>
      <c r="I60" s="6">
        <f t="shared" si="2"/>
        <v>8500</v>
      </c>
      <c r="J60" s="6">
        <f t="shared" si="0"/>
        <v>1275</v>
      </c>
      <c r="K60" s="9">
        <f t="shared" si="1"/>
        <v>9775</v>
      </c>
      <c r="L60" s="10"/>
    </row>
    <row r="61" spans="1:13" x14ac:dyDescent="0.3">
      <c r="A61" s="20">
        <v>46039</v>
      </c>
      <c r="B61" s="5">
        <v>41</v>
      </c>
      <c r="C61" s="5" t="s">
        <v>11</v>
      </c>
      <c r="D61" s="5" t="s">
        <v>22</v>
      </c>
      <c r="E61" s="5" t="s">
        <v>73</v>
      </c>
      <c r="F61" s="6">
        <v>20</v>
      </c>
      <c r="G61" s="6">
        <v>415</v>
      </c>
      <c r="H61" s="6">
        <v>20</v>
      </c>
      <c r="I61" s="6">
        <f t="shared" si="2"/>
        <v>8300</v>
      </c>
      <c r="J61" s="6">
        <f t="shared" si="0"/>
        <v>1245</v>
      </c>
      <c r="K61" s="9">
        <f t="shared" si="1"/>
        <v>9545</v>
      </c>
      <c r="L61" s="10"/>
    </row>
    <row r="62" spans="1:13" x14ac:dyDescent="0.3">
      <c r="A62" s="20">
        <v>46039</v>
      </c>
      <c r="B62" s="5">
        <v>42</v>
      </c>
      <c r="C62" s="5" t="s">
        <v>11</v>
      </c>
      <c r="D62" s="5" t="s">
        <v>75</v>
      </c>
      <c r="E62" s="5" t="s">
        <v>91</v>
      </c>
      <c r="F62" s="6">
        <v>10</v>
      </c>
      <c r="G62" s="6">
        <v>19</v>
      </c>
      <c r="H62" s="6">
        <v>146.52000000000001</v>
      </c>
      <c r="I62" s="6">
        <f t="shared" si="2"/>
        <v>2783.88</v>
      </c>
      <c r="J62" s="6">
        <f t="shared" si="0"/>
        <v>417.58199999999999</v>
      </c>
      <c r="K62" s="61">
        <f t="shared" si="1"/>
        <v>3201.462</v>
      </c>
      <c r="L62" s="62"/>
      <c r="M62" s="64"/>
    </row>
    <row r="63" spans="1:13" x14ac:dyDescent="0.3">
      <c r="A63" s="20">
        <v>46040</v>
      </c>
      <c r="B63" s="5">
        <v>43</v>
      </c>
      <c r="C63" s="5" t="s">
        <v>11</v>
      </c>
      <c r="D63" s="5" t="s">
        <v>22</v>
      </c>
      <c r="E63" s="5" t="s">
        <v>28</v>
      </c>
      <c r="F63" s="6">
        <v>200</v>
      </c>
      <c r="G63" s="6">
        <v>412</v>
      </c>
      <c r="H63" s="6">
        <v>200</v>
      </c>
      <c r="I63" s="6">
        <f t="shared" si="2"/>
        <v>82400</v>
      </c>
      <c r="J63" s="6">
        <f t="shared" si="0"/>
        <v>12360</v>
      </c>
      <c r="K63" s="43">
        <f t="shared" si="1"/>
        <v>94760</v>
      </c>
      <c r="L63" s="44"/>
      <c r="M63" s="46"/>
    </row>
    <row r="64" spans="1:13" x14ac:dyDescent="0.3">
      <c r="A64" s="20">
        <v>46040</v>
      </c>
      <c r="B64" s="5">
        <v>44</v>
      </c>
      <c r="C64" s="5" t="s">
        <v>11</v>
      </c>
      <c r="D64" s="5" t="s">
        <v>46</v>
      </c>
      <c r="E64" s="5" t="s">
        <v>95</v>
      </c>
      <c r="F64" s="6">
        <v>5</v>
      </c>
      <c r="G64" s="6">
        <v>360</v>
      </c>
      <c r="H64" s="6">
        <v>5</v>
      </c>
      <c r="I64" s="6">
        <f t="shared" si="2"/>
        <v>1800</v>
      </c>
      <c r="J64" s="6">
        <f t="shared" si="0"/>
        <v>270</v>
      </c>
      <c r="K64" s="43">
        <f t="shared" si="1"/>
        <v>2070</v>
      </c>
      <c r="L64" s="44"/>
      <c r="M64" s="42"/>
    </row>
    <row r="65" spans="1:13" x14ac:dyDescent="0.3">
      <c r="A65" s="20">
        <v>46040</v>
      </c>
      <c r="B65" s="5">
        <v>44</v>
      </c>
      <c r="C65" s="5" t="s">
        <v>11</v>
      </c>
      <c r="D65" s="5" t="s">
        <v>46</v>
      </c>
      <c r="E65" s="5" t="s">
        <v>48</v>
      </c>
      <c r="F65" s="6">
        <v>6</v>
      </c>
      <c r="G65" s="6">
        <v>666</v>
      </c>
      <c r="H65" s="6">
        <v>6</v>
      </c>
      <c r="I65" s="6">
        <f t="shared" si="2"/>
        <v>3996</v>
      </c>
      <c r="J65" s="6">
        <f t="shared" si="0"/>
        <v>599.4</v>
      </c>
      <c r="K65" s="43">
        <f t="shared" si="1"/>
        <v>4595.3999999999996</v>
      </c>
      <c r="L65" s="44"/>
      <c r="M65" s="42"/>
    </row>
    <row r="66" spans="1:13" x14ac:dyDescent="0.3">
      <c r="A66" s="20">
        <v>46040</v>
      </c>
      <c r="B66" s="5">
        <v>44</v>
      </c>
      <c r="C66" s="5" t="s">
        <v>11</v>
      </c>
      <c r="D66" s="5" t="s">
        <v>46</v>
      </c>
      <c r="E66" s="5" t="s">
        <v>78</v>
      </c>
      <c r="F66" s="6">
        <v>6</v>
      </c>
      <c r="G66" s="6">
        <v>810</v>
      </c>
      <c r="H66" s="6">
        <v>6</v>
      </c>
      <c r="I66" s="6">
        <f t="shared" si="2"/>
        <v>4860</v>
      </c>
      <c r="J66" s="6">
        <f t="shared" si="0"/>
        <v>729</v>
      </c>
      <c r="K66" s="43">
        <f t="shared" si="1"/>
        <v>5589</v>
      </c>
      <c r="L66" s="44"/>
      <c r="M66" s="42"/>
    </row>
    <row r="67" spans="1:13" x14ac:dyDescent="0.3">
      <c r="A67" s="20">
        <v>46040</v>
      </c>
      <c r="B67" s="5">
        <v>45</v>
      </c>
      <c r="C67" s="5" t="s">
        <v>11</v>
      </c>
      <c r="D67" s="5" t="s">
        <v>96</v>
      </c>
      <c r="E67" s="5" t="s">
        <v>55</v>
      </c>
      <c r="F67" s="6">
        <v>50</v>
      </c>
      <c r="G67" s="6">
        <v>170</v>
      </c>
      <c r="H67" s="6">
        <v>50</v>
      </c>
      <c r="I67" s="6">
        <f t="shared" si="2"/>
        <v>8500</v>
      </c>
      <c r="J67" s="6">
        <f t="shared" si="0"/>
        <v>1275</v>
      </c>
      <c r="K67" s="43">
        <f t="shared" si="1"/>
        <v>9775</v>
      </c>
      <c r="L67" s="44"/>
    </row>
    <row r="68" spans="1:13" x14ac:dyDescent="0.3">
      <c r="A68" s="122">
        <v>46041</v>
      </c>
      <c r="B68" s="123">
        <v>46</v>
      </c>
      <c r="C68" s="123" t="s">
        <v>11</v>
      </c>
      <c r="D68" s="123" t="s">
        <v>22</v>
      </c>
      <c r="E68" s="123" t="s">
        <v>97</v>
      </c>
      <c r="F68" s="124">
        <v>100</v>
      </c>
      <c r="G68" s="124">
        <v>155</v>
      </c>
      <c r="H68" s="124">
        <v>100</v>
      </c>
      <c r="I68" s="124">
        <f t="shared" si="2"/>
        <v>15500</v>
      </c>
      <c r="J68" s="124">
        <f t="shared" si="0"/>
        <v>2325</v>
      </c>
      <c r="K68" s="43">
        <f t="shared" si="1"/>
        <v>17825</v>
      </c>
      <c r="L68" s="44"/>
      <c r="M68" s="46"/>
    </row>
    <row r="69" spans="1:13" x14ac:dyDescent="0.3">
      <c r="A69" s="20">
        <v>46042</v>
      </c>
      <c r="B69" s="5">
        <v>47</v>
      </c>
      <c r="C69" s="5" t="s">
        <v>11</v>
      </c>
      <c r="D69" s="5" t="s">
        <v>26</v>
      </c>
      <c r="E69" s="5" t="s">
        <v>98</v>
      </c>
      <c r="F69" s="6">
        <v>60</v>
      </c>
      <c r="G69" s="6">
        <v>365</v>
      </c>
      <c r="H69" s="6">
        <v>60</v>
      </c>
      <c r="I69" s="6">
        <f t="shared" si="2"/>
        <v>21900</v>
      </c>
      <c r="J69" s="6">
        <f t="shared" si="0"/>
        <v>3285</v>
      </c>
      <c r="K69" s="9">
        <f t="shared" si="1"/>
        <v>25185</v>
      </c>
      <c r="L69" s="10"/>
      <c r="M69" s="19"/>
    </row>
    <row r="70" spans="1:13" x14ac:dyDescent="0.3">
      <c r="A70" s="20">
        <v>46042</v>
      </c>
      <c r="B70" s="5">
        <v>47</v>
      </c>
      <c r="C70" s="5" t="s">
        <v>11</v>
      </c>
      <c r="D70" s="5" t="s">
        <v>26</v>
      </c>
      <c r="E70" s="5" t="s">
        <v>28</v>
      </c>
      <c r="F70" s="6">
        <v>30</v>
      </c>
      <c r="G70" s="6">
        <v>423</v>
      </c>
      <c r="H70" s="6">
        <v>30</v>
      </c>
      <c r="I70" s="6">
        <f t="shared" si="2"/>
        <v>12690</v>
      </c>
      <c r="J70" s="6">
        <f t="shared" si="0"/>
        <v>1903.5</v>
      </c>
      <c r="K70" s="9">
        <f t="shared" si="1"/>
        <v>14593.5</v>
      </c>
      <c r="L70" s="10"/>
    </row>
    <row r="71" spans="1:13" x14ac:dyDescent="0.3">
      <c r="A71" s="20">
        <v>46042</v>
      </c>
      <c r="B71" s="5">
        <v>48</v>
      </c>
      <c r="C71" s="5" t="s">
        <v>11</v>
      </c>
      <c r="D71" s="5" t="s">
        <v>13</v>
      </c>
      <c r="E71" s="5" t="s">
        <v>99</v>
      </c>
      <c r="F71" s="6">
        <v>4</v>
      </c>
      <c r="G71" s="6">
        <v>165</v>
      </c>
      <c r="H71" s="6">
        <v>4</v>
      </c>
      <c r="I71" s="6">
        <f t="shared" si="2"/>
        <v>660</v>
      </c>
      <c r="J71" s="6">
        <f t="shared" si="0"/>
        <v>99</v>
      </c>
      <c r="K71" s="9">
        <f t="shared" si="1"/>
        <v>759</v>
      </c>
      <c r="L71" s="10"/>
    </row>
    <row r="72" spans="1:13" x14ac:dyDescent="0.3">
      <c r="A72" s="20">
        <v>46043</v>
      </c>
      <c r="B72" s="5">
        <v>49</v>
      </c>
      <c r="C72" s="5" t="s">
        <v>11</v>
      </c>
      <c r="D72" s="5" t="s">
        <v>100</v>
      </c>
      <c r="E72" s="5" t="s">
        <v>95</v>
      </c>
      <c r="F72" s="6">
        <v>200</v>
      </c>
      <c r="G72" s="6">
        <v>346</v>
      </c>
      <c r="H72" s="6">
        <v>200</v>
      </c>
      <c r="I72" s="6">
        <f t="shared" si="2"/>
        <v>69200</v>
      </c>
      <c r="J72" s="6">
        <f t="shared" si="0"/>
        <v>10380</v>
      </c>
      <c r="K72" s="43">
        <f t="shared" si="1"/>
        <v>79580</v>
      </c>
      <c r="L72" s="44"/>
      <c r="M72" s="46"/>
    </row>
    <row r="73" spans="1:13" x14ac:dyDescent="0.3">
      <c r="A73" s="20">
        <v>46044</v>
      </c>
      <c r="B73" s="5">
        <v>50</v>
      </c>
      <c r="C73" s="5" t="s">
        <v>11</v>
      </c>
      <c r="D73" s="5" t="s">
        <v>96</v>
      </c>
      <c r="E73" s="5" t="s">
        <v>55</v>
      </c>
      <c r="F73" s="6">
        <v>50</v>
      </c>
      <c r="G73" s="6">
        <v>170</v>
      </c>
      <c r="H73" s="6">
        <v>50</v>
      </c>
      <c r="I73" s="6">
        <f t="shared" si="2"/>
        <v>8500</v>
      </c>
      <c r="J73" s="6">
        <f t="shared" si="0"/>
        <v>1275</v>
      </c>
      <c r="K73" s="43">
        <f t="shared" si="1"/>
        <v>9775</v>
      </c>
      <c r="L73" s="44"/>
      <c r="M73" s="46"/>
    </row>
    <row r="74" spans="1:13" x14ac:dyDescent="0.3">
      <c r="A74" s="20">
        <v>46044</v>
      </c>
      <c r="B74" s="5">
        <v>51</v>
      </c>
      <c r="C74" s="5" t="s">
        <v>11</v>
      </c>
      <c r="D74" s="5" t="s">
        <v>103</v>
      </c>
      <c r="E74" s="5" t="s">
        <v>21</v>
      </c>
      <c r="F74" s="6">
        <v>10</v>
      </c>
      <c r="G74" s="6">
        <v>325</v>
      </c>
      <c r="H74" s="6">
        <v>10</v>
      </c>
      <c r="I74" s="6">
        <f t="shared" si="2"/>
        <v>3250</v>
      </c>
      <c r="J74" s="6">
        <f t="shared" si="0"/>
        <v>487.5</v>
      </c>
      <c r="K74" s="9">
        <f t="shared" si="1"/>
        <v>3737.5</v>
      </c>
      <c r="L74" s="10"/>
    </row>
    <row r="75" spans="1:13" x14ac:dyDescent="0.3">
      <c r="A75" s="20">
        <v>46044</v>
      </c>
      <c r="B75" s="5">
        <v>52</v>
      </c>
      <c r="C75" s="5" t="s">
        <v>11</v>
      </c>
      <c r="D75" s="5" t="s">
        <v>75</v>
      </c>
      <c r="E75" s="5" t="s">
        <v>104</v>
      </c>
      <c r="F75" s="6">
        <v>10</v>
      </c>
      <c r="G75" s="6">
        <v>310</v>
      </c>
      <c r="H75" s="6">
        <v>10</v>
      </c>
      <c r="I75" s="6">
        <f t="shared" si="2"/>
        <v>3100</v>
      </c>
      <c r="J75" s="6">
        <f t="shared" si="0"/>
        <v>465</v>
      </c>
      <c r="K75" s="69">
        <f t="shared" si="1"/>
        <v>3565</v>
      </c>
      <c r="L75" s="70"/>
      <c r="M75" s="71"/>
    </row>
    <row r="76" spans="1:13" x14ac:dyDescent="0.3">
      <c r="A76" s="20">
        <v>46048</v>
      </c>
      <c r="B76" s="5">
        <v>53</v>
      </c>
      <c r="C76" s="5" t="s">
        <v>11</v>
      </c>
      <c r="D76" s="14" t="s">
        <v>75</v>
      </c>
      <c r="E76" s="5" t="s">
        <v>21</v>
      </c>
      <c r="F76" s="6">
        <v>20</v>
      </c>
      <c r="G76" s="6">
        <v>425</v>
      </c>
      <c r="H76" s="6">
        <v>20</v>
      </c>
      <c r="I76" s="6">
        <f t="shared" si="2"/>
        <v>8500</v>
      </c>
      <c r="J76" s="6">
        <f t="shared" si="0"/>
        <v>1275</v>
      </c>
      <c r="K76" s="61">
        <f t="shared" si="1"/>
        <v>9775</v>
      </c>
      <c r="L76" s="62"/>
      <c r="M76" s="64"/>
    </row>
    <row r="77" spans="1:13" x14ac:dyDescent="0.3">
      <c r="A77" s="20">
        <v>46048</v>
      </c>
      <c r="B77" s="5">
        <v>54</v>
      </c>
      <c r="C77" s="5" t="s">
        <v>11</v>
      </c>
      <c r="D77" s="5" t="s">
        <v>75</v>
      </c>
      <c r="E77" s="5" t="s">
        <v>104</v>
      </c>
      <c r="F77" s="6">
        <v>10</v>
      </c>
      <c r="G77" s="6">
        <v>315</v>
      </c>
      <c r="H77" s="6">
        <v>10</v>
      </c>
      <c r="I77" s="6">
        <f t="shared" si="2"/>
        <v>3150</v>
      </c>
      <c r="J77" s="6">
        <f t="shared" si="0"/>
        <v>472.5</v>
      </c>
      <c r="K77" s="61">
        <f t="shared" si="1"/>
        <v>3622.5</v>
      </c>
      <c r="L77" s="62"/>
      <c r="M77" s="64"/>
    </row>
    <row r="78" spans="1:13" x14ac:dyDescent="0.3">
      <c r="A78" s="20">
        <v>46050</v>
      </c>
      <c r="B78" s="5">
        <v>55</v>
      </c>
      <c r="C78" s="5" t="s">
        <v>11</v>
      </c>
      <c r="D78" s="5" t="s">
        <v>75</v>
      </c>
      <c r="E78" s="5" t="s">
        <v>104</v>
      </c>
      <c r="F78" s="6">
        <v>15</v>
      </c>
      <c r="G78" s="6">
        <v>315</v>
      </c>
      <c r="H78" s="6">
        <v>15</v>
      </c>
      <c r="I78" s="6">
        <f t="shared" si="2"/>
        <v>4725</v>
      </c>
      <c r="J78" s="6">
        <f t="shared" si="0"/>
        <v>708.75</v>
      </c>
      <c r="K78" s="61">
        <f t="shared" si="1"/>
        <v>5433.75</v>
      </c>
      <c r="L78" s="62"/>
    </row>
    <row r="79" spans="1:13" x14ac:dyDescent="0.3">
      <c r="A79" s="20">
        <v>46050</v>
      </c>
      <c r="B79" s="5">
        <v>55</v>
      </c>
      <c r="C79" s="5" t="s">
        <v>11</v>
      </c>
      <c r="D79" s="5" t="s">
        <v>75</v>
      </c>
      <c r="E79" s="5" t="s">
        <v>105</v>
      </c>
      <c r="F79" s="6">
        <v>1</v>
      </c>
      <c r="G79" s="6">
        <v>350</v>
      </c>
      <c r="H79" s="6">
        <v>1</v>
      </c>
      <c r="I79" s="6">
        <f t="shared" si="2"/>
        <v>350</v>
      </c>
      <c r="J79" s="6">
        <f t="shared" si="0"/>
        <v>52.5</v>
      </c>
      <c r="K79" s="61">
        <f t="shared" si="1"/>
        <v>402.5</v>
      </c>
      <c r="L79" s="62"/>
    </row>
    <row r="80" spans="1:13" x14ac:dyDescent="0.3">
      <c r="A80" s="20">
        <v>46050</v>
      </c>
      <c r="B80" s="5">
        <v>56</v>
      </c>
      <c r="C80" s="5" t="s">
        <v>11</v>
      </c>
      <c r="D80" s="14" t="s">
        <v>84</v>
      </c>
      <c r="E80" s="5" t="s">
        <v>28</v>
      </c>
      <c r="F80" s="6">
        <v>10</v>
      </c>
      <c r="G80" s="6">
        <v>412</v>
      </c>
      <c r="H80" s="6">
        <v>10</v>
      </c>
      <c r="I80" s="6">
        <f t="shared" si="2"/>
        <v>4120</v>
      </c>
      <c r="J80" s="6">
        <f t="shared" si="0"/>
        <v>618</v>
      </c>
      <c r="K80" s="43">
        <f t="shared" si="1"/>
        <v>4738</v>
      </c>
      <c r="L80" s="44"/>
    </row>
    <row r="81" spans="1:13" x14ac:dyDescent="0.3">
      <c r="A81" s="20">
        <v>46051</v>
      </c>
      <c r="B81" s="5">
        <v>57</v>
      </c>
      <c r="C81" s="5" t="s">
        <v>11</v>
      </c>
      <c r="D81" s="5" t="s">
        <v>75</v>
      </c>
      <c r="E81" s="5" t="s">
        <v>28</v>
      </c>
      <c r="F81" s="6">
        <v>50</v>
      </c>
      <c r="G81" s="6">
        <v>413</v>
      </c>
      <c r="H81" s="6">
        <v>50</v>
      </c>
      <c r="I81" s="6">
        <f t="shared" si="2"/>
        <v>20650</v>
      </c>
      <c r="J81" s="6">
        <f t="shared" si="0"/>
        <v>3097.5</v>
      </c>
      <c r="K81" s="61">
        <f t="shared" si="1"/>
        <v>23747.5</v>
      </c>
      <c r="L81" s="62"/>
    </row>
    <row r="82" spans="1:13" x14ac:dyDescent="0.3">
      <c r="A82" s="20">
        <v>46051</v>
      </c>
      <c r="B82" s="5">
        <v>57</v>
      </c>
      <c r="C82" s="5" t="s">
        <v>11</v>
      </c>
      <c r="D82" s="5" t="s">
        <v>75</v>
      </c>
      <c r="E82" s="5" t="s">
        <v>106</v>
      </c>
      <c r="F82" s="6">
        <v>15</v>
      </c>
      <c r="G82" s="6">
        <v>350</v>
      </c>
      <c r="H82" s="6">
        <v>15</v>
      </c>
      <c r="I82" s="6">
        <f t="shared" si="2"/>
        <v>5250</v>
      </c>
      <c r="J82" s="6">
        <f t="shared" si="0"/>
        <v>787.5</v>
      </c>
      <c r="K82" s="61">
        <f t="shared" si="1"/>
        <v>6037.5</v>
      </c>
      <c r="L82" s="62"/>
      <c r="M82" s="19"/>
    </row>
    <row r="83" spans="1:13" x14ac:dyDescent="0.3">
      <c r="A83" s="20">
        <v>46051</v>
      </c>
      <c r="B83" s="5">
        <v>58</v>
      </c>
      <c r="C83" s="5" t="s">
        <v>11</v>
      </c>
      <c r="D83" s="5" t="s">
        <v>58</v>
      </c>
      <c r="E83" s="5" t="s">
        <v>21</v>
      </c>
      <c r="F83" s="6">
        <v>8</v>
      </c>
      <c r="G83" s="6">
        <v>425</v>
      </c>
      <c r="H83" s="6">
        <v>8</v>
      </c>
      <c r="I83" s="6">
        <f t="shared" si="2"/>
        <v>3400</v>
      </c>
      <c r="J83" s="6">
        <f t="shared" si="0"/>
        <v>510</v>
      </c>
      <c r="K83" s="61">
        <f t="shared" si="1"/>
        <v>3910</v>
      </c>
      <c r="L83" s="62"/>
      <c r="M83" s="63"/>
    </row>
    <row r="84" spans="1:13" x14ac:dyDescent="0.3">
      <c r="A84" s="20">
        <v>46051</v>
      </c>
      <c r="B84" s="5">
        <v>59</v>
      </c>
      <c r="C84" s="5" t="s">
        <v>11</v>
      </c>
      <c r="D84" s="5" t="s">
        <v>75</v>
      </c>
      <c r="E84" s="5" t="s">
        <v>91</v>
      </c>
      <c r="F84" s="6">
        <v>6</v>
      </c>
      <c r="G84" s="6">
        <v>18.8</v>
      </c>
      <c r="H84" s="6">
        <v>88.08</v>
      </c>
      <c r="I84" s="6">
        <f t="shared" si="2"/>
        <v>1655.904</v>
      </c>
      <c r="J84" s="6">
        <f t="shared" si="0"/>
        <v>248.38559999999998</v>
      </c>
      <c r="K84" s="9">
        <f t="shared" si="1"/>
        <v>1904.2896000000001</v>
      </c>
      <c r="L84" s="52"/>
      <c r="M84" s="53"/>
    </row>
    <row r="85" spans="1:13" x14ac:dyDescent="0.3">
      <c r="A85" s="20">
        <v>46051</v>
      </c>
      <c r="B85" s="5">
        <v>60</v>
      </c>
      <c r="C85" s="5" t="s">
        <v>11</v>
      </c>
      <c r="D85" s="5" t="s">
        <v>22</v>
      </c>
      <c r="E85" s="5" t="s">
        <v>73</v>
      </c>
      <c r="F85" s="6">
        <v>20</v>
      </c>
      <c r="G85" s="6">
        <v>414</v>
      </c>
      <c r="H85" s="6">
        <v>20</v>
      </c>
      <c r="I85" s="6">
        <f t="shared" si="2"/>
        <v>8280</v>
      </c>
      <c r="J85" s="6">
        <f t="shared" si="0"/>
        <v>1242</v>
      </c>
      <c r="K85" s="43">
        <f t="shared" si="1"/>
        <v>9522</v>
      </c>
      <c r="L85" s="44"/>
      <c r="M85" s="19"/>
    </row>
    <row r="86" spans="1:13" x14ac:dyDescent="0.3">
      <c r="A86" s="20">
        <v>46053</v>
      </c>
      <c r="B86" s="5">
        <v>61</v>
      </c>
      <c r="C86" s="5" t="s">
        <v>11</v>
      </c>
      <c r="D86" s="5" t="s">
        <v>72</v>
      </c>
      <c r="E86" s="5" t="s">
        <v>104</v>
      </c>
      <c r="F86" s="6">
        <v>30</v>
      </c>
      <c r="G86" s="6">
        <v>310</v>
      </c>
      <c r="H86" s="6">
        <v>30</v>
      </c>
      <c r="I86" s="6">
        <f t="shared" si="2"/>
        <v>9300</v>
      </c>
      <c r="J86" s="6">
        <f t="shared" si="0"/>
        <v>1395</v>
      </c>
      <c r="K86" s="9">
        <f t="shared" si="1"/>
        <v>10695</v>
      </c>
      <c r="L86" s="10"/>
      <c r="M86" s="19"/>
    </row>
    <row r="87" spans="1:13" x14ac:dyDescent="0.3">
      <c r="A87" s="20">
        <v>46053</v>
      </c>
      <c r="B87" s="5">
        <v>62</v>
      </c>
      <c r="C87" s="5" t="s">
        <v>11</v>
      </c>
      <c r="D87" s="5" t="s">
        <v>22</v>
      </c>
      <c r="E87" s="5" t="s">
        <v>64</v>
      </c>
      <c r="F87" s="6">
        <v>50</v>
      </c>
      <c r="G87" s="6">
        <v>414</v>
      </c>
      <c r="H87" s="6">
        <v>50</v>
      </c>
      <c r="I87" s="6">
        <f t="shared" si="2"/>
        <v>20700</v>
      </c>
      <c r="J87" s="6">
        <f t="shared" si="0"/>
        <v>3105</v>
      </c>
      <c r="K87" s="43">
        <f t="shared" si="1"/>
        <v>23805</v>
      </c>
      <c r="L87" s="44"/>
      <c r="M87" s="19"/>
    </row>
    <row r="88" spans="1:13" x14ac:dyDescent="0.3">
      <c r="A88" s="20"/>
      <c r="B88" s="5"/>
      <c r="C88" s="5"/>
      <c r="D88" s="5"/>
      <c r="E88" s="5"/>
      <c r="F88" s="6"/>
      <c r="G88" s="6"/>
      <c r="H88" s="6"/>
      <c r="I88" s="6">
        <f t="shared" si="2"/>
        <v>0</v>
      </c>
      <c r="J88" s="6">
        <f t="shared" si="0"/>
        <v>0</v>
      </c>
      <c r="K88" s="9">
        <f t="shared" si="1"/>
        <v>0</v>
      </c>
      <c r="L88" s="10"/>
    </row>
    <row r="89" spans="1:13" x14ac:dyDescent="0.3">
      <c r="A89" s="20"/>
      <c r="B89" s="5"/>
      <c r="C89" s="5"/>
      <c r="D89" s="5"/>
      <c r="E89" s="5"/>
      <c r="F89" s="6"/>
      <c r="G89" s="6"/>
      <c r="H89" s="6"/>
      <c r="I89" s="6">
        <f t="shared" si="2"/>
        <v>0</v>
      </c>
      <c r="J89" s="6">
        <f t="shared" si="0"/>
        <v>0</v>
      </c>
      <c r="K89" s="9">
        <f t="shared" si="1"/>
        <v>0</v>
      </c>
      <c r="L89" s="10"/>
      <c r="M89" s="19"/>
    </row>
    <row r="90" spans="1:13" x14ac:dyDescent="0.3">
      <c r="A90" s="20"/>
      <c r="B90" s="5"/>
      <c r="C90" s="5"/>
      <c r="D90" s="5"/>
      <c r="E90" s="5"/>
      <c r="F90" s="6"/>
      <c r="G90" s="6"/>
      <c r="H90" s="6"/>
      <c r="I90" s="6">
        <f t="shared" si="2"/>
        <v>0</v>
      </c>
      <c r="J90" s="6">
        <f t="shared" si="0"/>
        <v>0</v>
      </c>
      <c r="K90" s="9">
        <f t="shared" si="1"/>
        <v>0</v>
      </c>
      <c r="L90" s="10"/>
    </row>
    <row r="91" spans="1:13" x14ac:dyDescent="0.3">
      <c r="A91" s="20"/>
      <c r="B91" s="5"/>
      <c r="C91" s="5"/>
      <c r="D91" s="5"/>
      <c r="E91" s="5"/>
      <c r="F91" s="6"/>
      <c r="G91" s="6"/>
      <c r="H91" s="6"/>
      <c r="I91" s="6">
        <f t="shared" si="2"/>
        <v>0</v>
      </c>
      <c r="J91" s="6">
        <f t="shared" si="0"/>
        <v>0</v>
      </c>
      <c r="K91" s="9">
        <f t="shared" si="1"/>
        <v>0</v>
      </c>
      <c r="L91" s="10"/>
    </row>
    <row r="92" spans="1:13" x14ac:dyDescent="0.3">
      <c r="A92" s="20"/>
      <c r="B92" s="5"/>
      <c r="C92" s="5"/>
      <c r="D92" s="5"/>
      <c r="E92" s="5"/>
      <c r="F92" s="6"/>
      <c r="G92" s="6"/>
      <c r="H92" s="6"/>
      <c r="I92" s="6">
        <f t="shared" si="2"/>
        <v>0</v>
      </c>
      <c r="J92" s="6">
        <f t="shared" si="0"/>
        <v>0</v>
      </c>
      <c r="K92" s="9">
        <f t="shared" si="1"/>
        <v>0</v>
      </c>
      <c r="L92" s="10"/>
    </row>
    <row r="93" spans="1:13" x14ac:dyDescent="0.3">
      <c r="A93" s="20"/>
      <c r="B93" s="5"/>
      <c r="C93" s="5"/>
      <c r="D93" s="5"/>
      <c r="E93" s="5"/>
      <c r="F93" s="6"/>
      <c r="G93" s="6"/>
      <c r="H93" s="6"/>
      <c r="I93" s="6">
        <f t="shared" si="2"/>
        <v>0</v>
      </c>
      <c r="J93" s="6">
        <f t="shared" si="0"/>
        <v>0</v>
      </c>
      <c r="K93" s="9">
        <f t="shared" si="1"/>
        <v>0</v>
      </c>
      <c r="L93" s="10"/>
    </row>
    <row r="94" spans="1:13" x14ac:dyDescent="0.3">
      <c r="A94" s="20"/>
      <c r="B94" s="5"/>
      <c r="C94" s="5"/>
      <c r="D94" s="5"/>
      <c r="E94" s="5"/>
      <c r="F94" s="6"/>
      <c r="G94" s="6"/>
      <c r="H94" s="6"/>
      <c r="I94" s="6">
        <f t="shared" si="2"/>
        <v>0</v>
      </c>
      <c r="J94" s="6">
        <f t="shared" si="0"/>
        <v>0</v>
      </c>
      <c r="K94" s="9">
        <f t="shared" si="1"/>
        <v>0</v>
      </c>
      <c r="L94" s="10"/>
    </row>
    <row r="95" spans="1:13" x14ac:dyDescent="0.3">
      <c r="A95" s="20"/>
      <c r="B95" s="5"/>
      <c r="C95" s="5"/>
      <c r="D95" s="5"/>
      <c r="E95" s="5"/>
      <c r="F95" s="6"/>
      <c r="G95" s="6"/>
      <c r="H95" s="6"/>
      <c r="I95" s="6">
        <f t="shared" si="2"/>
        <v>0</v>
      </c>
      <c r="J95" s="6">
        <f t="shared" si="0"/>
        <v>0</v>
      </c>
      <c r="K95" s="9">
        <f t="shared" si="1"/>
        <v>0</v>
      </c>
      <c r="L95" s="10"/>
    </row>
    <row r="96" spans="1:13" x14ac:dyDescent="0.3">
      <c r="A96" s="20"/>
      <c r="B96" s="5"/>
      <c r="C96" s="5"/>
      <c r="D96" s="5"/>
      <c r="E96" s="5"/>
      <c r="F96" s="6"/>
      <c r="G96" s="6"/>
      <c r="H96" s="6"/>
      <c r="I96" s="6">
        <f t="shared" si="2"/>
        <v>0</v>
      </c>
      <c r="J96" s="6">
        <f t="shared" si="0"/>
        <v>0</v>
      </c>
      <c r="K96" s="9">
        <f t="shared" si="1"/>
        <v>0</v>
      </c>
      <c r="L96" s="10"/>
    </row>
    <row r="97" spans="1:13" x14ac:dyDescent="0.3">
      <c r="A97" s="20"/>
      <c r="B97" s="5"/>
      <c r="C97" s="5"/>
      <c r="D97" s="5"/>
      <c r="E97" s="5"/>
      <c r="F97" s="6"/>
      <c r="G97" s="6"/>
      <c r="H97" s="6"/>
      <c r="I97" s="6">
        <f t="shared" si="2"/>
        <v>0</v>
      </c>
      <c r="J97" s="6">
        <f t="shared" si="0"/>
        <v>0</v>
      </c>
      <c r="K97" s="9">
        <f t="shared" si="1"/>
        <v>0</v>
      </c>
      <c r="L97" s="10"/>
      <c r="M97" s="19"/>
    </row>
    <row r="98" spans="1:13" x14ac:dyDescent="0.3">
      <c r="A98" s="20"/>
      <c r="B98" s="5"/>
      <c r="C98" s="5"/>
      <c r="D98" s="5"/>
      <c r="E98" s="5"/>
      <c r="F98" s="6"/>
      <c r="G98" s="6"/>
      <c r="H98" s="6"/>
      <c r="I98" s="6">
        <f t="shared" si="2"/>
        <v>0</v>
      </c>
      <c r="J98" s="6">
        <f t="shared" si="0"/>
        <v>0</v>
      </c>
      <c r="K98" s="9">
        <f t="shared" si="1"/>
        <v>0</v>
      </c>
      <c r="L98" s="10"/>
    </row>
    <row r="99" spans="1:13" x14ac:dyDescent="0.3">
      <c r="A99" s="20"/>
      <c r="B99" s="5"/>
      <c r="C99" s="5"/>
      <c r="D99" s="5"/>
      <c r="E99" s="5"/>
      <c r="F99" s="6"/>
      <c r="G99" s="6"/>
      <c r="H99" s="6"/>
      <c r="I99" s="6">
        <f t="shared" si="2"/>
        <v>0</v>
      </c>
      <c r="J99" s="6">
        <f t="shared" si="0"/>
        <v>0</v>
      </c>
      <c r="K99" s="9">
        <f t="shared" si="1"/>
        <v>0</v>
      </c>
      <c r="L99" s="10"/>
    </row>
    <row r="100" spans="1:13" x14ac:dyDescent="0.3">
      <c r="A100" s="20"/>
      <c r="B100" s="5"/>
      <c r="C100" s="5"/>
      <c r="D100" s="5"/>
      <c r="E100" s="5"/>
      <c r="F100" s="6"/>
      <c r="G100" s="6"/>
      <c r="H100" s="6"/>
      <c r="I100" s="6">
        <f t="shared" si="2"/>
        <v>0</v>
      </c>
      <c r="J100" s="6">
        <f t="shared" si="0"/>
        <v>0</v>
      </c>
      <c r="K100" s="9">
        <f t="shared" si="1"/>
        <v>0</v>
      </c>
      <c r="L100" s="10"/>
      <c r="M100" s="19"/>
    </row>
    <row r="101" spans="1:13" x14ac:dyDescent="0.3">
      <c r="A101" s="20"/>
      <c r="B101" s="5"/>
      <c r="C101" s="5"/>
      <c r="D101" s="5"/>
      <c r="E101" s="5"/>
      <c r="F101" s="6"/>
      <c r="G101" s="6"/>
      <c r="H101" s="6"/>
      <c r="I101" s="6">
        <f t="shared" si="2"/>
        <v>0</v>
      </c>
      <c r="J101" s="6">
        <f t="shared" si="0"/>
        <v>0</v>
      </c>
      <c r="K101" s="9">
        <f t="shared" si="1"/>
        <v>0</v>
      </c>
      <c r="L101" s="10"/>
    </row>
    <row r="102" spans="1:13" x14ac:dyDescent="0.3">
      <c r="A102" s="20"/>
      <c r="B102" s="5"/>
      <c r="C102" s="5"/>
      <c r="D102" s="5"/>
      <c r="E102" s="5"/>
      <c r="F102" s="6"/>
      <c r="G102" s="6"/>
      <c r="H102" s="6"/>
      <c r="I102" s="6">
        <f t="shared" si="2"/>
        <v>0</v>
      </c>
      <c r="J102" s="6">
        <f t="shared" si="0"/>
        <v>0</v>
      </c>
      <c r="K102" s="9">
        <f t="shared" si="1"/>
        <v>0</v>
      </c>
      <c r="L102" s="10"/>
    </row>
    <row r="103" spans="1:13" x14ac:dyDescent="0.3">
      <c r="A103" s="20"/>
      <c r="B103" s="5"/>
      <c r="C103" s="5"/>
      <c r="D103" s="14"/>
      <c r="E103" s="5"/>
      <c r="F103" s="6"/>
      <c r="G103" s="6"/>
      <c r="H103" s="6"/>
      <c r="I103" s="6">
        <f t="shared" si="2"/>
        <v>0</v>
      </c>
      <c r="J103" s="6">
        <f t="shared" si="0"/>
        <v>0</v>
      </c>
      <c r="K103" s="9">
        <f t="shared" si="1"/>
        <v>0</v>
      </c>
      <c r="L103" s="10"/>
      <c r="M103" s="19"/>
    </row>
    <row r="104" spans="1:13" x14ac:dyDescent="0.3">
      <c r="A104" s="20"/>
      <c r="B104" s="5"/>
      <c r="C104" s="5"/>
      <c r="D104" s="5"/>
      <c r="E104" s="5"/>
      <c r="F104" s="6"/>
      <c r="G104" s="6"/>
      <c r="H104" s="6"/>
      <c r="I104" s="6">
        <f t="shared" si="2"/>
        <v>0</v>
      </c>
      <c r="J104" s="6">
        <f t="shared" si="0"/>
        <v>0</v>
      </c>
      <c r="K104" s="9">
        <f t="shared" si="1"/>
        <v>0</v>
      </c>
      <c r="L104" s="10"/>
      <c r="M104" s="19"/>
    </row>
    <row r="105" spans="1:13" x14ac:dyDescent="0.3">
      <c r="A105" s="20"/>
      <c r="B105" s="5"/>
      <c r="C105" s="5"/>
      <c r="D105" s="5"/>
      <c r="E105" s="5"/>
      <c r="F105" s="6"/>
      <c r="G105" s="6"/>
      <c r="H105" s="6"/>
      <c r="I105" s="6">
        <f t="shared" si="2"/>
        <v>0</v>
      </c>
      <c r="J105" s="6">
        <f t="shared" si="0"/>
        <v>0</v>
      </c>
      <c r="K105" s="9">
        <f t="shared" si="1"/>
        <v>0</v>
      </c>
      <c r="L105" s="10"/>
    </row>
    <row r="106" spans="1:13" x14ac:dyDescent="0.3">
      <c r="A106" s="20"/>
      <c r="B106" s="5"/>
      <c r="C106" s="5"/>
      <c r="D106" s="5"/>
      <c r="E106" s="5"/>
      <c r="F106" s="6"/>
      <c r="G106" s="6"/>
      <c r="H106" s="6"/>
      <c r="I106" s="6">
        <f t="shared" si="2"/>
        <v>0</v>
      </c>
      <c r="J106" s="6">
        <f t="shared" si="0"/>
        <v>0</v>
      </c>
      <c r="K106" s="9">
        <f t="shared" si="1"/>
        <v>0</v>
      </c>
      <c r="L106" s="10"/>
    </row>
    <row r="107" spans="1:13" x14ac:dyDescent="0.3">
      <c r="A107" s="20"/>
      <c r="B107" s="5"/>
      <c r="C107" s="5"/>
      <c r="D107" s="5"/>
      <c r="E107" s="5"/>
      <c r="F107" s="6"/>
      <c r="G107" s="6"/>
      <c r="H107" s="6"/>
      <c r="I107" s="6">
        <f t="shared" si="2"/>
        <v>0</v>
      </c>
      <c r="J107" s="6">
        <f t="shared" si="0"/>
        <v>0</v>
      </c>
      <c r="K107" s="9">
        <f t="shared" si="1"/>
        <v>0</v>
      </c>
      <c r="L107" s="10"/>
    </row>
    <row r="108" spans="1:13" x14ac:dyDescent="0.3">
      <c r="A108" s="20"/>
      <c r="B108" s="5"/>
      <c r="C108" s="5"/>
      <c r="D108" s="5"/>
      <c r="E108" s="5"/>
      <c r="F108" s="6"/>
      <c r="G108" s="6"/>
      <c r="H108" s="6"/>
      <c r="I108" s="6">
        <f t="shared" si="2"/>
        <v>0</v>
      </c>
      <c r="J108" s="6">
        <f t="shared" si="0"/>
        <v>0</v>
      </c>
      <c r="K108" s="9">
        <f t="shared" si="1"/>
        <v>0</v>
      </c>
      <c r="L108" s="10"/>
    </row>
    <row r="109" spans="1:13" x14ac:dyDescent="0.3">
      <c r="A109" s="20"/>
      <c r="B109" s="5"/>
      <c r="C109" s="5"/>
      <c r="D109" s="5"/>
      <c r="E109" s="5"/>
      <c r="F109" s="6"/>
      <c r="G109" s="6"/>
      <c r="H109" s="6"/>
      <c r="I109" s="6">
        <f t="shared" si="2"/>
        <v>0</v>
      </c>
      <c r="J109" s="6">
        <f t="shared" si="0"/>
        <v>0</v>
      </c>
      <c r="K109" s="9">
        <f t="shared" si="1"/>
        <v>0</v>
      </c>
      <c r="L109" s="10"/>
    </row>
    <row r="110" spans="1:13" x14ac:dyDescent="0.3">
      <c r="A110" s="20"/>
      <c r="B110" s="5"/>
      <c r="C110" s="5"/>
      <c r="D110" s="5"/>
      <c r="E110" s="5"/>
      <c r="F110" s="6"/>
      <c r="G110" s="6"/>
      <c r="H110" s="6"/>
      <c r="I110" s="6">
        <f t="shared" si="2"/>
        <v>0</v>
      </c>
      <c r="J110" s="6">
        <f t="shared" si="0"/>
        <v>0</v>
      </c>
      <c r="K110" s="9">
        <f t="shared" si="1"/>
        <v>0</v>
      </c>
      <c r="L110" s="10"/>
    </row>
    <row r="111" spans="1:13" x14ac:dyDescent="0.3">
      <c r="A111" s="20"/>
      <c r="B111" s="5"/>
      <c r="C111" s="5"/>
      <c r="D111" s="5"/>
      <c r="E111" s="5"/>
      <c r="F111" s="6"/>
      <c r="G111" s="6"/>
      <c r="H111" s="6"/>
      <c r="I111" s="6">
        <f t="shared" si="2"/>
        <v>0</v>
      </c>
      <c r="J111" s="6">
        <f t="shared" si="0"/>
        <v>0</v>
      </c>
      <c r="K111" s="9">
        <f t="shared" si="1"/>
        <v>0</v>
      </c>
      <c r="L111" s="10"/>
      <c r="M111" s="19"/>
    </row>
    <row r="112" spans="1:13" x14ac:dyDescent="0.3">
      <c r="A112" s="20"/>
      <c r="B112" s="5"/>
      <c r="C112" s="5"/>
      <c r="D112" s="5"/>
      <c r="E112" s="5"/>
      <c r="F112" s="6"/>
      <c r="G112" s="6"/>
      <c r="H112" s="6"/>
      <c r="I112" s="6">
        <f t="shared" si="2"/>
        <v>0</v>
      </c>
      <c r="J112" s="6">
        <f t="shared" si="0"/>
        <v>0</v>
      </c>
      <c r="K112" s="9">
        <f t="shared" si="1"/>
        <v>0</v>
      </c>
      <c r="L112" s="10"/>
    </row>
    <row r="113" spans="1:13" x14ac:dyDescent="0.3">
      <c r="A113" s="20"/>
      <c r="B113" s="5"/>
      <c r="C113" s="5"/>
      <c r="D113" s="14"/>
      <c r="E113" s="5"/>
      <c r="F113" s="6"/>
      <c r="G113" s="6"/>
      <c r="H113" s="6"/>
      <c r="I113" s="6">
        <f t="shared" si="2"/>
        <v>0</v>
      </c>
      <c r="J113" s="6">
        <f t="shared" si="0"/>
        <v>0</v>
      </c>
      <c r="K113" s="9">
        <f t="shared" si="1"/>
        <v>0</v>
      </c>
      <c r="L113" s="10"/>
    </row>
    <row r="114" spans="1:13" x14ac:dyDescent="0.3">
      <c r="A114" s="20"/>
      <c r="B114" s="5"/>
      <c r="C114" s="5"/>
      <c r="D114" s="5"/>
      <c r="E114" s="5"/>
      <c r="F114" s="6"/>
      <c r="G114" s="6"/>
      <c r="H114" s="6"/>
      <c r="I114" s="6">
        <f t="shared" si="2"/>
        <v>0</v>
      </c>
      <c r="J114" s="6">
        <f t="shared" si="0"/>
        <v>0</v>
      </c>
      <c r="K114" s="9">
        <f t="shared" si="1"/>
        <v>0</v>
      </c>
      <c r="L114" s="10"/>
      <c r="M114" s="19"/>
    </row>
    <row r="115" spans="1:13" x14ac:dyDescent="0.3">
      <c r="A115" s="20"/>
      <c r="B115" s="5"/>
      <c r="C115" s="5"/>
      <c r="D115" s="5"/>
      <c r="E115" s="5"/>
      <c r="F115" s="6"/>
      <c r="G115" s="6"/>
      <c r="H115" s="6"/>
      <c r="I115" s="6">
        <f t="shared" si="2"/>
        <v>0</v>
      </c>
      <c r="J115" s="6">
        <f t="shared" si="0"/>
        <v>0</v>
      </c>
      <c r="K115" s="9">
        <f t="shared" si="1"/>
        <v>0</v>
      </c>
      <c r="L115" s="10"/>
    </row>
    <row r="116" spans="1:13" x14ac:dyDescent="0.3">
      <c r="A116" s="20"/>
      <c r="B116" s="5"/>
      <c r="C116" s="5"/>
      <c r="D116" s="5"/>
      <c r="E116" s="5"/>
      <c r="F116" s="6"/>
      <c r="G116" s="6"/>
      <c r="H116" s="6"/>
      <c r="I116" s="6">
        <f t="shared" si="2"/>
        <v>0</v>
      </c>
      <c r="J116" s="6">
        <f t="shared" si="0"/>
        <v>0</v>
      </c>
      <c r="K116" s="9">
        <f t="shared" si="1"/>
        <v>0</v>
      </c>
      <c r="L116" s="10"/>
    </row>
    <row r="117" spans="1:13" x14ac:dyDescent="0.3">
      <c r="A117" s="20"/>
      <c r="B117" s="5"/>
      <c r="C117" s="5"/>
      <c r="D117" s="5"/>
      <c r="E117" s="5"/>
      <c r="F117" s="6"/>
      <c r="G117" s="6"/>
      <c r="H117" s="6"/>
      <c r="I117" s="6">
        <f t="shared" si="2"/>
        <v>0</v>
      </c>
      <c r="J117" s="6">
        <f t="shared" si="0"/>
        <v>0</v>
      </c>
      <c r="K117" s="9">
        <f t="shared" si="1"/>
        <v>0</v>
      </c>
      <c r="L117" s="10"/>
    </row>
    <row r="118" spans="1:13" x14ac:dyDescent="0.3">
      <c r="A118" s="20"/>
      <c r="B118" s="5"/>
      <c r="C118" s="5"/>
      <c r="D118" s="5"/>
      <c r="E118" s="5"/>
      <c r="F118" s="6"/>
      <c r="G118" s="6"/>
      <c r="H118" s="6"/>
      <c r="I118" s="6">
        <f t="shared" si="2"/>
        <v>0</v>
      </c>
      <c r="J118" s="6">
        <f t="shared" si="0"/>
        <v>0</v>
      </c>
      <c r="K118" s="9">
        <f t="shared" si="1"/>
        <v>0</v>
      </c>
      <c r="L118" s="10"/>
    </row>
    <row r="119" spans="1:13" x14ac:dyDescent="0.3">
      <c r="A119" s="20"/>
      <c r="B119" s="5"/>
      <c r="C119" s="5"/>
      <c r="D119" s="5"/>
      <c r="E119" s="5"/>
      <c r="F119" s="6"/>
      <c r="G119" s="6"/>
      <c r="H119" s="6"/>
      <c r="I119" s="6">
        <f t="shared" si="2"/>
        <v>0</v>
      </c>
      <c r="J119" s="6">
        <f t="shared" si="0"/>
        <v>0</v>
      </c>
      <c r="K119" s="9">
        <f t="shared" si="1"/>
        <v>0</v>
      </c>
      <c r="L119" s="10"/>
      <c r="M119" s="19"/>
    </row>
    <row r="120" spans="1:13" x14ac:dyDescent="0.3">
      <c r="A120" s="20"/>
      <c r="B120" s="5"/>
      <c r="C120" s="5"/>
      <c r="D120" s="5"/>
      <c r="E120" s="5"/>
      <c r="F120" s="6"/>
      <c r="G120" s="6"/>
      <c r="H120" s="6"/>
      <c r="I120" s="6">
        <f t="shared" si="2"/>
        <v>0</v>
      </c>
      <c r="J120" s="6">
        <f t="shared" si="0"/>
        <v>0</v>
      </c>
      <c r="K120" s="9">
        <f t="shared" si="1"/>
        <v>0</v>
      </c>
      <c r="L120" s="10"/>
    </row>
    <row r="121" spans="1:13" x14ac:dyDescent="0.3">
      <c r="A121" s="20"/>
      <c r="B121" s="5"/>
      <c r="C121" s="5"/>
      <c r="D121" s="5"/>
      <c r="E121" s="5"/>
      <c r="F121" s="6"/>
      <c r="G121" s="6"/>
      <c r="H121" s="6"/>
      <c r="I121" s="6">
        <f t="shared" si="2"/>
        <v>0</v>
      </c>
      <c r="J121" s="6">
        <f t="shared" si="0"/>
        <v>0</v>
      </c>
      <c r="K121" s="9">
        <f t="shared" si="1"/>
        <v>0</v>
      </c>
      <c r="L121" s="10"/>
    </row>
    <row r="122" spans="1:13" x14ac:dyDescent="0.3">
      <c r="A122" s="20"/>
      <c r="B122" s="5"/>
      <c r="C122" s="5"/>
      <c r="D122" s="5"/>
      <c r="E122" s="5"/>
      <c r="F122" s="6"/>
      <c r="G122" s="6"/>
      <c r="H122" s="6"/>
      <c r="I122" s="6">
        <f t="shared" si="2"/>
        <v>0</v>
      </c>
      <c r="J122" s="6">
        <f t="shared" si="0"/>
        <v>0</v>
      </c>
      <c r="K122" s="9">
        <f t="shared" si="1"/>
        <v>0</v>
      </c>
      <c r="L122" s="10"/>
    </row>
    <row r="123" spans="1:13" x14ac:dyDescent="0.3">
      <c r="A123" s="20"/>
      <c r="B123" s="5"/>
      <c r="C123" s="5"/>
      <c r="D123" s="5"/>
      <c r="E123" s="5"/>
      <c r="F123" s="6"/>
      <c r="G123" s="6"/>
      <c r="H123" s="6"/>
      <c r="I123" s="6">
        <f t="shared" si="2"/>
        <v>0</v>
      </c>
      <c r="J123" s="6">
        <f t="shared" si="0"/>
        <v>0</v>
      </c>
      <c r="K123" s="9">
        <f t="shared" si="1"/>
        <v>0</v>
      </c>
      <c r="L123" s="10"/>
    </row>
    <row r="124" spans="1:13" x14ac:dyDescent="0.3">
      <c r="A124" s="20"/>
      <c r="B124" s="5"/>
      <c r="C124" s="5"/>
      <c r="D124" s="5"/>
      <c r="E124" s="5"/>
      <c r="F124" s="6"/>
      <c r="G124" s="6"/>
      <c r="H124" s="6"/>
      <c r="I124" s="6">
        <f t="shared" si="2"/>
        <v>0</v>
      </c>
      <c r="J124" s="6">
        <f t="shared" si="0"/>
        <v>0</v>
      </c>
      <c r="K124" s="9">
        <f t="shared" si="1"/>
        <v>0</v>
      </c>
      <c r="L124" s="10"/>
    </row>
    <row r="125" spans="1:13" x14ac:dyDescent="0.3">
      <c r="A125" s="20"/>
      <c r="B125" s="5"/>
      <c r="C125" s="5"/>
      <c r="D125" s="5"/>
      <c r="E125" s="5"/>
      <c r="F125" s="6"/>
      <c r="G125" s="6"/>
      <c r="H125" s="6"/>
      <c r="I125" s="6">
        <f t="shared" si="2"/>
        <v>0</v>
      </c>
      <c r="J125" s="6">
        <f t="shared" si="0"/>
        <v>0</v>
      </c>
      <c r="K125" s="9">
        <f t="shared" si="1"/>
        <v>0</v>
      </c>
      <c r="L125" s="10"/>
    </row>
    <row r="126" spans="1:13" x14ac:dyDescent="0.3">
      <c r="A126" s="20"/>
      <c r="B126" s="5"/>
      <c r="C126" s="5"/>
      <c r="D126" s="5"/>
      <c r="E126" s="5"/>
      <c r="F126" s="6"/>
      <c r="G126" s="6"/>
      <c r="H126" s="6"/>
      <c r="I126" s="6">
        <f t="shared" si="2"/>
        <v>0</v>
      </c>
      <c r="J126" s="6">
        <f t="shared" si="0"/>
        <v>0</v>
      </c>
      <c r="K126" s="9">
        <f t="shared" si="1"/>
        <v>0</v>
      </c>
      <c r="L126" s="10"/>
      <c r="M126" s="19"/>
    </row>
    <row r="127" spans="1:13" x14ac:dyDescent="0.3">
      <c r="A127" s="20"/>
      <c r="B127" s="5"/>
      <c r="C127" s="5"/>
      <c r="D127" s="5"/>
      <c r="E127" s="5"/>
      <c r="F127" s="6"/>
      <c r="G127" s="6"/>
      <c r="H127" s="6"/>
      <c r="I127" s="6">
        <f t="shared" si="2"/>
        <v>0</v>
      </c>
      <c r="J127" s="6">
        <f t="shared" si="0"/>
        <v>0</v>
      </c>
      <c r="K127" s="9">
        <f t="shared" si="1"/>
        <v>0</v>
      </c>
      <c r="L127" s="10"/>
    </row>
    <row r="128" spans="1:13" x14ac:dyDescent="0.3">
      <c r="A128" s="20"/>
      <c r="B128" s="5"/>
      <c r="C128" s="5"/>
      <c r="D128" s="5"/>
      <c r="E128" s="5"/>
      <c r="F128" s="6"/>
      <c r="G128" s="6"/>
      <c r="H128" s="6"/>
      <c r="I128" s="6">
        <f t="shared" si="2"/>
        <v>0</v>
      </c>
      <c r="J128" s="6">
        <f t="shared" si="0"/>
        <v>0</v>
      </c>
      <c r="K128" s="9">
        <f t="shared" si="1"/>
        <v>0</v>
      </c>
      <c r="L128" s="10"/>
    </row>
    <row r="129" spans="1:13" x14ac:dyDescent="0.3">
      <c r="A129" s="20"/>
      <c r="B129" s="5"/>
      <c r="C129" s="5"/>
      <c r="D129" s="5"/>
      <c r="E129" s="5"/>
      <c r="F129" s="6"/>
      <c r="G129" s="6"/>
      <c r="H129" s="6"/>
      <c r="I129" s="6">
        <f t="shared" si="2"/>
        <v>0</v>
      </c>
      <c r="J129" s="6">
        <f t="shared" si="0"/>
        <v>0</v>
      </c>
      <c r="K129" s="9">
        <f t="shared" si="1"/>
        <v>0</v>
      </c>
      <c r="L129" s="10"/>
    </row>
    <row r="130" spans="1:13" x14ac:dyDescent="0.3">
      <c r="A130" s="20"/>
      <c r="B130" s="5"/>
      <c r="C130" s="5"/>
      <c r="D130" s="5"/>
      <c r="E130" s="5"/>
      <c r="F130" s="6"/>
      <c r="G130" s="6"/>
      <c r="H130" s="6"/>
      <c r="I130" s="6">
        <f t="shared" si="2"/>
        <v>0</v>
      </c>
      <c r="J130" s="6">
        <f t="shared" si="0"/>
        <v>0</v>
      </c>
      <c r="K130" s="9">
        <f t="shared" si="1"/>
        <v>0</v>
      </c>
      <c r="L130" s="10"/>
    </row>
    <row r="131" spans="1:13" x14ac:dyDescent="0.3">
      <c r="A131" s="20"/>
      <c r="B131" s="5"/>
      <c r="C131" s="5"/>
      <c r="D131" s="5"/>
      <c r="E131" s="5"/>
      <c r="F131" s="6"/>
      <c r="G131" s="6"/>
      <c r="H131" s="6"/>
      <c r="I131" s="6">
        <f t="shared" si="2"/>
        <v>0</v>
      </c>
      <c r="J131" s="6">
        <f t="shared" si="0"/>
        <v>0</v>
      </c>
      <c r="K131" s="9">
        <f t="shared" si="1"/>
        <v>0</v>
      </c>
      <c r="L131" s="10"/>
    </row>
    <row r="132" spans="1:13" x14ac:dyDescent="0.3">
      <c r="A132" s="20"/>
      <c r="B132" s="5"/>
      <c r="C132" s="5"/>
      <c r="D132" s="5"/>
      <c r="E132" s="5"/>
      <c r="F132" s="6"/>
      <c r="G132" s="6"/>
      <c r="H132" s="6"/>
      <c r="I132" s="6">
        <f t="shared" si="2"/>
        <v>0</v>
      </c>
      <c r="J132" s="6">
        <f t="shared" si="0"/>
        <v>0</v>
      </c>
      <c r="K132" s="9">
        <f t="shared" si="1"/>
        <v>0</v>
      </c>
      <c r="L132" s="10"/>
    </row>
    <row r="133" spans="1:13" x14ac:dyDescent="0.3">
      <c r="A133" s="20"/>
      <c r="B133" s="5"/>
      <c r="C133" s="5"/>
      <c r="D133" s="5"/>
      <c r="E133" s="5"/>
      <c r="F133" s="6"/>
      <c r="G133" s="6"/>
      <c r="H133" s="6"/>
      <c r="I133" s="6">
        <f t="shared" si="2"/>
        <v>0</v>
      </c>
      <c r="J133" s="6">
        <f t="shared" si="0"/>
        <v>0</v>
      </c>
      <c r="K133" s="9">
        <f t="shared" si="1"/>
        <v>0</v>
      </c>
      <c r="L133" s="10"/>
    </row>
    <row r="134" spans="1:13" x14ac:dyDescent="0.3">
      <c r="A134" s="20"/>
      <c r="B134" s="5"/>
      <c r="C134" s="5"/>
      <c r="D134" s="5"/>
      <c r="E134" s="5"/>
      <c r="F134" s="6"/>
      <c r="G134" s="6"/>
      <c r="H134" s="6"/>
      <c r="I134" s="6">
        <f t="shared" si="2"/>
        <v>0</v>
      </c>
      <c r="J134" s="6">
        <f t="shared" si="0"/>
        <v>0</v>
      </c>
      <c r="K134" s="9">
        <f t="shared" si="1"/>
        <v>0</v>
      </c>
      <c r="L134" s="10"/>
    </row>
    <row r="135" spans="1:13" x14ac:dyDescent="0.3">
      <c r="A135" s="20"/>
      <c r="B135" s="5"/>
      <c r="C135" s="5"/>
      <c r="D135" s="14"/>
      <c r="E135" s="5"/>
      <c r="F135" s="6"/>
      <c r="G135" s="6"/>
      <c r="H135" s="6"/>
      <c r="I135" s="6">
        <f t="shared" si="2"/>
        <v>0</v>
      </c>
      <c r="J135" s="6">
        <f t="shared" si="0"/>
        <v>0</v>
      </c>
      <c r="K135" s="9">
        <f t="shared" si="1"/>
        <v>0</v>
      </c>
      <c r="L135" s="10"/>
    </row>
    <row r="136" spans="1:13" x14ac:dyDescent="0.3">
      <c r="A136" s="20"/>
      <c r="B136" s="5"/>
      <c r="C136" s="5"/>
      <c r="D136" s="5"/>
      <c r="E136" s="5"/>
      <c r="F136" s="6"/>
      <c r="G136" s="6"/>
      <c r="H136" s="6"/>
      <c r="I136" s="6">
        <f t="shared" si="2"/>
        <v>0</v>
      </c>
      <c r="J136" s="6">
        <f t="shared" si="0"/>
        <v>0</v>
      </c>
      <c r="K136" s="9">
        <f t="shared" si="1"/>
        <v>0</v>
      </c>
      <c r="L136" s="10"/>
    </row>
    <row r="137" spans="1:13" x14ac:dyDescent="0.3">
      <c r="A137" s="20"/>
      <c r="B137" s="5"/>
      <c r="C137" s="5"/>
      <c r="D137" s="5"/>
      <c r="E137" s="5"/>
      <c r="F137" s="6"/>
      <c r="G137" s="6"/>
      <c r="H137" s="6"/>
      <c r="I137" s="6">
        <f t="shared" si="2"/>
        <v>0</v>
      </c>
      <c r="J137" s="6">
        <f t="shared" si="0"/>
        <v>0</v>
      </c>
      <c r="K137" s="9">
        <f t="shared" si="1"/>
        <v>0</v>
      </c>
      <c r="L137" s="10"/>
    </row>
    <row r="138" spans="1:13" x14ac:dyDescent="0.3">
      <c r="A138" s="20"/>
      <c r="B138" s="5"/>
      <c r="C138" s="5"/>
      <c r="D138" s="5"/>
      <c r="E138" s="5"/>
      <c r="F138" s="6"/>
      <c r="G138" s="6"/>
      <c r="H138" s="6"/>
      <c r="I138" s="6">
        <f t="shared" si="2"/>
        <v>0</v>
      </c>
      <c r="J138" s="6">
        <f t="shared" si="0"/>
        <v>0</v>
      </c>
      <c r="K138" s="9">
        <f t="shared" si="1"/>
        <v>0</v>
      </c>
      <c r="L138" s="10"/>
    </row>
    <row r="139" spans="1:13" x14ac:dyDescent="0.3">
      <c r="A139" s="20"/>
      <c r="B139" s="5"/>
      <c r="C139" s="5"/>
      <c r="D139" s="14"/>
      <c r="E139" s="5"/>
      <c r="F139" s="6"/>
      <c r="G139" s="6"/>
      <c r="H139" s="6"/>
      <c r="I139" s="6">
        <f t="shared" si="2"/>
        <v>0</v>
      </c>
      <c r="J139" s="6">
        <f t="shared" si="0"/>
        <v>0</v>
      </c>
      <c r="K139" s="9">
        <f t="shared" si="1"/>
        <v>0</v>
      </c>
      <c r="L139" s="2"/>
    </row>
    <row r="140" spans="1:13" x14ac:dyDescent="0.3">
      <c r="A140" s="20"/>
      <c r="B140" s="5"/>
      <c r="C140" s="5"/>
      <c r="D140" s="5"/>
      <c r="E140" s="5"/>
      <c r="F140" s="6"/>
      <c r="G140" s="6"/>
      <c r="H140" s="6"/>
      <c r="I140" s="6">
        <f t="shared" si="2"/>
        <v>0</v>
      </c>
      <c r="J140" s="6">
        <f t="shared" si="0"/>
        <v>0</v>
      </c>
      <c r="K140" s="9">
        <f t="shared" si="1"/>
        <v>0</v>
      </c>
      <c r="L140" s="10"/>
    </row>
    <row r="141" spans="1:13" x14ac:dyDescent="0.3">
      <c r="A141" s="20"/>
      <c r="B141" s="5"/>
      <c r="C141" s="5"/>
      <c r="D141" s="5"/>
      <c r="E141" s="5"/>
      <c r="F141" s="6"/>
      <c r="G141" s="6"/>
      <c r="H141" s="6"/>
      <c r="I141" s="6">
        <f t="shared" si="2"/>
        <v>0</v>
      </c>
      <c r="J141" s="6">
        <f t="shared" si="0"/>
        <v>0</v>
      </c>
      <c r="K141" s="9">
        <f t="shared" si="1"/>
        <v>0</v>
      </c>
      <c r="L141" s="10"/>
      <c r="M141" s="19"/>
    </row>
    <row r="142" spans="1:13" x14ac:dyDescent="0.3">
      <c r="A142" s="20"/>
      <c r="B142" s="5"/>
      <c r="C142" s="5"/>
      <c r="D142" s="5"/>
      <c r="E142" s="5"/>
      <c r="F142" s="6"/>
      <c r="G142" s="6"/>
      <c r="H142" s="6"/>
      <c r="I142" s="6">
        <f t="shared" si="2"/>
        <v>0</v>
      </c>
      <c r="J142" s="6">
        <f t="shared" si="0"/>
        <v>0</v>
      </c>
      <c r="K142" s="9">
        <f t="shared" si="1"/>
        <v>0</v>
      </c>
      <c r="L142" s="10"/>
      <c r="M142" s="19"/>
    </row>
    <row r="143" spans="1:13" x14ac:dyDescent="0.3">
      <c r="A143" s="20"/>
      <c r="B143" s="5"/>
      <c r="C143" s="5"/>
      <c r="D143" s="5"/>
      <c r="E143" s="5"/>
      <c r="F143" s="6"/>
      <c r="G143" s="6"/>
      <c r="H143" s="6"/>
      <c r="I143" s="6">
        <f t="shared" si="2"/>
        <v>0</v>
      </c>
      <c r="J143" s="6">
        <f t="shared" si="0"/>
        <v>0</v>
      </c>
      <c r="K143" s="9">
        <f t="shared" si="1"/>
        <v>0</v>
      </c>
      <c r="L143" s="10"/>
    </row>
    <row r="144" spans="1:13" x14ac:dyDescent="0.3">
      <c r="A144" s="20"/>
      <c r="B144" s="5"/>
      <c r="C144" s="5"/>
      <c r="D144" s="5"/>
      <c r="E144" s="5"/>
      <c r="F144" s="6"/>
      <c r="G144" s="6"/>
      <c r="H144" s="6"/>
      <c r="I144" s="6">
        <f t="shared" si="2"/>
        <v>0</v>
      </c>
      <c r="J144" s="6">
        <f t="shared" si="0"/>
        <v>0</v>
      </c>
      <c r="K144" s="9">
        <f t="shared" si="1"/>
        <v>0</v>
      </c>
      <c r="L144" s="10"/>
    </row>
    <row r="145" spans="1:13" x14ac:dyDescent="0.3">
      <c r="A145" s="20"/>
      <c r="B145" s="5"/>
      <c r="C145" s="5"/>
      <c r="D145" s="5"/>
      <c r="E145" s="5"/>
      <c r="F145" s="6"/>
      <c r="G145" s="6"/>
      <c r="H145" s="6"/>
      <c r="I145" s="6">
        <f t="shared" si="2"/>
        <v>0</v>
      </c>
      <c r="J145" s="6">
        <f t="shared" si="0"/>
        <v>0</v>
      </c>
      <c r="K145" s="9">
        <f t="shared" si="1"/>
        <v>0</v>
      </c>
      <c r="L145" s="10"/>
    </row>
    <row r="146" spans="1:13" x14ac:dyDescent="0.3">
      <c r="A146" s="20"/>
      <c r="B146" s="5"/>
      <c r="C146" s="5"/>
      <c r="D146" s="5"/>
      <c r="E146" s="5"/>
      <c r="F146" s="6"/>
      <c r="G146" s="6"/>
      <c r="H146" s="6"/>
      <c r="I146" s="6">
        <f t="shared" si="2"/>
        <v>0</v>
      </c>
      <c r="J146" s="6">
        <f t="shared" si="0"/>
        <v>0</v>
      </c>
      <c r="K146" s="9">
        <f t="shared" si="1"/>
        <v>0</v>
      </c>
      <c r="L146" s="10"/>
    </row>
    <row r="147" spans="1:13" x14ac:dyDescent="0.3">
      <c r="A147" s="20"/>
      <c r="B147" s="5"/>
      <c r="C147" s="5"/>
      <c r="D147" s="5"/>
      <c r="E147" s="5"/>
      <c r="F147" s="6"/>
      <c r="G147" s="6"/>
      <c r="H147" s="6"/>
      <c r="I147" s="6">
        <f t="shared" si="2"/>
        <v>0</v>
      </c>
      <c r="J147" s="6">
        <f t="shared" si="0"/>
        <v>0</v>
      </c>
      <c r="K147" s="9">
        <f t="shared" si="1"/>
        <v>0</v>
      </c>
      <c r="L147" s="10"/>
    </row>
    <row r="148" spans="1:13" x14ac:dyDescent="0.3">
      <c r="A148" s="20"/>
      <c r="B148" s="5"/>
      <c r="C148" s="5"/>
      <c r="D148" s="5"/>
      <c r="E148" s="5"/>
      <c r="F148" s="6"/>
      <c r="G148" s="6"/>
      <c r="H148" s="6"/>
      <c r="I148" s="6">
        <f t="shared" si="2"/>
        <v>0</v>
      </c>
      <c r="J148" s="6">
        <f t="shared" si="0"/>
        <v>0</v>
      </c>
      <c r="K148" s="9">
        <f t="shared" si="1"/>
        <v>0</v>
      </c>
      <c r="L148" s="10"/>
    </row>
    <row r="149" spans="1:13" x14ac:dyDescent="0.3">
      <c r="A149" s="20"/>
      <c r="B149" s="5"/>
      <c r="C149" s="5"/>
      <c r="D149" s="5"/>
      <c r="E149" s="5"/>
      <c r="F149" s="6"/>
      <c r="G149" s="6"/>
      <c r="H149" s="6"/>
      <c r="I149" s="6">
        <f t="shared" si="2"/>
        <v>0</v>
      </c>
      <c r="J149" s="6">
        <f t="shared" si="0"/>
        <v>0</v>
      </c>
      <c r="K149" s="9">
        <f t="shared" si="1"/>
        <v>0</v>
      </c>
      <c r="L149" s="10"/>
    </row>
    <row r="150" spans="1:13" x14ac:dyDescent="0.3">
      <c r="A150" s="20"/>
      <c r="B150" s="5"/>
      <c r="C150" s="5"/>
      <c r="D150" s="5"/>
      <c r="E150" s="5"/>
      <c r="F150" s="6"/>
      <c r="G150" s="6"/>
      <c r="H150" s="6"/>
      <c r="I150" s="6">
        <f t="shared" si="2"/>
        <v>0</v>
      </c>
      <c r="J150" s="6">
        <f t="shared" si="0"/>
        <v>0</v>
      </c>
      <c r="K150" s="9">
        <f t="shared" si="1"/>
        <v>0</v>
      </c>
      <c r="L150" s="10"/>
      <c r="M150" s="19"/>
    </row>
    <row r="151" spans="1:13" x14ac:dyDescent="0.3">
      <c r="A151" s="20"/>
      <c r="B151" s="5"/>
      <c r="C151" s="5"/>
      <c r="D151" s="5"/>
      <c r="E151" s="5"/>
      <c r="F151" s="6"/>
      <c r="G151" s="6"/>
      <c r="H151" s="6"/>
      <c r="I151" s="6">
        <f t="shared" si="2"/>
        <v>0</v>
      </c>
      <c r="J151" s="6">
        <f t="shared" si="0"/>
        <v>0</v>
      </c>
      <c r="K151" s="9">
        <f t="shared" si="1"/>
        <v>0</v>
      </c>
      <c r="L151" s="10"/>
    </row>
    <row r="152" spans="1:13" x14ac:dyDescent="0.3">
      <c r="A152" s="20"/>
      <c r="B152" s="5"/>
      <c r="C152" s="5"/>
      <c r="D152" s="5"/>
      <c r="E152" s="5"/>
      <c r="F152" s="6"/>
      <c r="G152" s="6"/>
      <c r="H152" s="6"/>
      <c r="I152" s="6">
        <f t="shared" si="2"/>
        <v>0</v>
      </c>
      <c r="J152" s="6">
        <f t="shared" si="0"/>
        <v>0</v>
      </c>
      <c r="K152" s="9">
        <f t="shared" si="1"/>
        <v>0</v>
      </c>
      <c r="L152" s="10"/>
    </row>
    <row r="153" spans="1:13" x14ac:dyDescent="0.3">
      <c r="A153" s="20"/>
      <c r="B153" s="5"/>
      <c r="C153" s="5"/>
      <c r="D153" s="5"/>
      <c r="E153" s="5"/>
      <c r="F153" s="6"/>
      <c r="G153" s="6"/>
      <c r="H153" s="6"/>
      <c r="I153" s="6">
        <f t="shared" si="2"/>
        <v>0</v>
      </c>
      <c r="J153" s="6">
        <f t="shared" si="0"/>
        <v>0</v>
      </c>
      <c r="K153" s="9">
        <f t="shared" si="1"/>
        <v>0</v>
      </c>
      <c r="L153" s="10"/>
    </row>
    <row r="154" spans="1:13" x14ac:dyDescent="0.3">
      <c r="A154" s="20"/>
      <c r="B154" s="5"/>
      <c r="C154" s="5"/>
      <c r="D154" s="5"/>
      <c r="E154" s="5"/>
      <c r="F154" s="6"/>
      <c r="G154" s="6"/>
      <c r="H154" s="6"/>
      <c r="I154" s="6">
        <f t="shared" si="2"/>
        <v>0</v>
      </c>
      <c r="J154" s="6">
        <f t="shared" si="0"/>
        <v>0</v>
      </c>
      <c r="K154" s="9">
        <f t="shared" si="1"/>
        <v>0</v>
      </c>
      <c r="L154" s="10"/>
    </row>
    <row r="155" spans="1:13" x14ac:dyDescent="0.3">
      <c r="A155" s="20"/>
      <c r="B155" s="5"/>
      <c r="C155" s="5"/>
      <c r="D155" s="5"/>
      <c r="E155" s="5"/>
      <c r="F155" s="6"/>
      <c r="G155" s="6"/>
      <c r="H155" s="6"/>
      <c r="I155" s="6">
        <f t="shared" si="2"/>
        <v>0</v>
      </c>
      <c r="J155" s="6">
        <f t="shared" si="0"/>
        <v>0</v>
      </c>
      <c r="K155" s="9">
        <f t="shared" si="1"/>
        <v>0</v>
      </c>
      <c r="L155" s="10"/>
    </row>
    <row r="156" spans="1:13" x14ac:dyDescent="0.3">
      <c r="A156" s="20"/>
      <c r="B156" s="5"/>
      <c r="C156" s="5"/>
      <c r="D156" s="5"/>
      <c r="E156" s="5"/>
      <c r="F156" s="6"/>
      <c r="G156" s="6"/>
      <c r="H156" s="6"/>
      <c r="I156" s="6">
        <f t="shared" si="2"/>
        <v>0</v>
      </c>
      <c r="J156" s="6">
        <f t="shared" si="0"/>
        <v>0</v>
      </c>
      <c r="K156" s="9">
        <f t="shared" si="1"/>
        <v>0</v>
      </c>
      <c r="L156" s="10"/>
    </row>
    <row r="157" spans="1:13" x14ac:dyDescent="0.3">
      <c r="A157" s="20"/>
      <c r="B157" s="5"/>
      <c r="C157" s="5"/>
      <c r="D157" s="5"/>
      <c r="E157" s="5"/>
      <c r="F157" s="6"/>
      <c r="G157" s="6"/>
      <c r="H157" s="6"/>
      <c r="I157" s="6">
        <f t="shared" si="2"/>
        <v>0</v>
      </c>
      <c r="J157" s="6">
        <f t="shared" si="0"/>
        <v>0</v>
      </c>
      <c r="K157" s="9">
        <f t="shared" si="1"/>
        <v>0</v>
      </c>
      <c r="L157" s="10"/>
    </row>
    <row r="158" spans="1:13" x14ac:dyDescent="0.3">
      <c r="A158" s="20"/>
      <c r="B158" s="5"/>
      <c r="C158" s="5"/>
      <c r="D158" s="5"/>
      <c r="E158" s="5"/>
      <c r="F158" s="6"/>
      <c r="G158" s="6"/>
      <c r="H158" s="6"/>
      <c r="I158" s="6">
        <f t="shared" si="2"/>
        <v>0</v>
      </c>
      <c r="J158" s="6">
        <f t="shared" si="0"/>
        <v>0</v>
      </c>
      <c r="K158" s="9">
        <f t="shared" si="1"/>
        <v>0</v>
      </c>
      <c r="L158" s="10"/>
    </row>
    <row r="159" spans="1:13" x14ac:dyDescent="0.3">
      <c r="A159" s="20"/>
      <c r="B159" s="5"/>
      <c r="C159" s="5"/>
      <c r="D159" s="5"/>
      <c r="E159" s="5"/>
      <c r="F159" s="6"/>
      <c r="G159" s="6"/>
      <c r="H159" s="6"/>
      <c r="I159" s="6">
        <f t="shared" si="2"/>
        <v>0</v>
      </c>
      <c r="J159" s="6">
        <f t="shared" si="0"/>
        <v>0</v>
      </c>
      <c r="K159" s="9">
        <f t="shared" si="1"/>
        <v>0</v>
      </c>
      <c r="L159" s="10"/>
    </row>
    <row r="160" spans="1:13" x14ac:dyDescent="0.3">
      <c r="A160" s="8"/>
      <c r="B160" s="5"/>
      <c r="C160" s="5"/>
      <c r="D160" s="5"/>
      <c r="E160" s="5"/>
      <c r="F160" s="12">
        <f>SUBTOTAL(9,F3:F159)</f>
        <v>7843</v>
      </c>
      <c r="G160" s="12"/>
      <c r="H160" s="12">
        <f>SUBTOTAL(9,H3:H159)</f>
        <v>8413.1040000000012</v>
      </c>
      <c r="I160" s="12">
        <f>SUBTOTAL(9,I3:I159)</f>
        <v>1892707.0549999999</v>
      </c>
      <c r="J160" s="12">
        <f>SUBTOTAL(9,J3:J159)</f>
        <v>283906.05824999994</v>
      </c>
      <c r="K160" s="12">
        <f>SUBTOTAL(9,K3:K159)</f>
        <v>2176613.1132499995</v>
      </c>
      <c r="L160" s="13"/>
    </row>
    <row r="163" spans="6:8" x14ac:dyDescent="0.3">
      <c r="F163" s="77"/>
    </row>
    <row r="165" spans="6:8" x14ac:dyDescent="0.3">
      <c r="H165" s="77"/>
    </row>
  </sheetData>
  <autoFilter ref="A2:M15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AB9E9-6E2F-4B5A-AC1C-407C55197531}">
  <sheetPr>
    <tabColor theme="9" tint="0.59999389629810485"/>
  </sheetPr>
  <dimension ref="A1:M174"/>
  <sheetViews>
    <sheetView rightToLeft="1" topLeftCell="C1" zoomScaleNormal="100" workbookViewId="0">
      <pane ySplit="2" topLeftCell="A165" activePane="bottomLeft" state="frozen"/>
      <selection pane="bottomLeft" activeCell="I174" sqref="I174"/>
    </sheetView>
  </sheetViews>
  <sheetFormatPr defaultRowHeight="14.4" x14ac:dyDescent="0.3"/>
  <cols>
    <col min="1" max="1" width="11.21875" bestFit="1" customWidth="1"/>
    <col min="2" max="2" width="10" customWidth="1"/>
    <col min="3" max="3" width="9" customWidth="1"/>
    <col min="4" max="4" width="32.109375" bestFit="1" customWidth="1"/>
    <col min="5" max="5" width="25" bestFit="1" customWidth="1"/>
    <col min="6" max="6" width="19.21875" bestFit="1" customWidth="1"/>
    <col min="8" max="8" width="15.6640625" bestFit="1" customWidth="1"/>
    <col min="9" max="9" width="12.77734375" bestFit="1" customWidth="1"/>
    <col min="10" max="11" width="12.6640625" bestFit="1" customWidth="1"/>
    <col min="12" max="12" width="22.77734375" customWidth="1"/>
    <col min="13" max="13" width="24.44140625" customWidth="1"/>
  </cols>
  <sheetData>
    <row r="1" spans="1:13" ht="15.6" x14ac:dyDescent="0.3">
      <c r="H1" s="1" t="s">
        <v>107</v>
      </c>
      <c r="I1" s="2"/>
      <c r="J1" s="2"/>
      <c r="K1" s="2"/>
      <c r="L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17</v>
      </c>
      <c r="G2" s="3" t="s">
        <v>5</v>
      </c>
      <c r="H2" s="3" t="s">
        <v>18</v>
      </c>
      <c r="I2" s="3" t="s">
        <v>6</v>
      </c>
      <c r="J2" s="3" t="s">
        <v>7</v>
      </c>
      <c r="K2" s="3" t="s">
        <v>8</v>
      </c>
      <c r="L2" s="3" t="s">
        <v>9</v>
      </c>
      <c r="M2" s="4" t="s">
        <v>10</v>
      </c>
    </row>
    <row r="3" spans="1:13" x14ac:dyDescent="0.3">
      <c r="A3" s="20">
        <v>46054</v>
      </c>
      <c r="B3" s="5">
        <v>63</v>
      </c>
      <c r="C3" s="5" t="s">
        <v>11</v>
      </c>
      <c r="D3" s="5" t="s">
        <v>84</v>
      </c>
      <c r="E3" s="14" t="s">
        <v>28</v>
      </c>
      <c r="F3" s="6">
        <v>60</v>
      </c>
      <c r="G3" s="6">
        <v>412</v>
      </c>
      <c r="H3" s="15">
        <v>60</v>
      </c>
      <c r="I3" s="6">
        <f>H3*G3</f>
        <v>24720</v>
      </c>
      <c r="J3" s="14">
        <f t="shared" ref="J3:J168" si="0">I3*15%</f>
        <v>3708</v>
      </c>
      <c r="K3" s="40">
        <f t="shared" ref="K3:K168" si="1">I3+J3</f>
        <v>28428</v>
      </c>
      <c r="L3" s="45"/>
      <c r="M3" s="42"/>
    </row>
    <row r="4" spans="1:13" x14ac:dyDescent="0.3">
      <c r="A4" s="20">
        <v>46054</v>
      </c>
      <c r="B4" s="5">
        <v>64</v>
      </c>
      <c r="C4" s="5" t="s">
        <v>11</v>
      </c>
      <c r="D4" s="5" t="s">
        <v>110</v>
      </c>
      <c r="E4" s="5" t="s">
        <v>21</v>
      </c>
      <c r="F4" s="6">
        <v>8</v>
      </c>
      <c r="G4" s="6">
        <v>425</v>
      </c>
      <c r="H4" s="15">
        <v>8</v>
      </c>
      <c r="I4" s="6">
        <f>H4*G4</f>
        <v>3400</v>
      </c>
      <c r="J4" s="14">
        <f t="shared" si="0"/>
        <v>510</v>
      </c>
      <c r="K4" s="40">
        <f t="shared" si="1"/>
        <v>3910</v>
      </c>
      <c r="L4" s="41"/>
      <c r="M4" s="42"/>
    </row>
    <row r="5" spans="1:13" x14ac:dyDescent="0.3">
      <c r="A5" s="20">
        <v>46054</v>
      </c>
      <c r="B5" s="5">
        <v>65</v>
      </c>
      <c r="C5" s="5" t="s">
        <v>11</v>
      </c>
      <c r="D5" s="5" t="s">
        <v>100</v>
      </c>
      <c r="E5" s="14" t="s">
        <v>24</v>
      </c>
      <c r="F5" s="6">
        <v>2700</v>
      </c>
      <c r="G5" s="6">
        <v>165</v>
      </c>
      <c r="H5" s="15">
        <v>2700</v>
      </c>
      <c r="I5" s="6">
        <f>H5*G5</f>
        <v>445500</v>
      </c>
      <c r="J5" s="14">
        <f t="shared" si="0"/>
        <v>66825</v>
      </c>
      <c r="K5" s="17">
        <f t="shared" si="1"/>
        <v>512325</v>
      </c>
      <c r="L5" s="18"/>
      <c r="M5" s="19"/>
    </row>
    <row r="6" spans="1:13" x14ac:dyDescent="0.3">
      <c r="A6" s="20">
        <v>46054</v>
      </c>
      <c r="B6" s="5">
        <v>66</v>
      </c>
      <c r="C6" s="5" t="s">
        <v>11</v>
      </c>
      <c r="D6" s="5" t="s">
        <v>111</v>
      </c>
      <c r="E6" s="14" t="s">
        <v>28</v>
      </c>
      <c r="F6" s="6">
        <v>18</v>
      </c>
      <c r="G6" s="6">
        <v>420</v>
      </c>
      <c r="H6" s="15">
        <v>18</v>
      </c>
      <c r="I6" s="6">
        <f>H6*G6</f>
        <v>7560</v>
      </c>
      <c r="J6" s="14">
        <f t="shared" si="0"/>
        <v>1134</v>
      </c>
      <c r="K6" s="17">
        <f t="shared" si="1"/>
        <v>8694</v>
      </c>
      <c r="L6" s="18"/>
      <c r="M6" s="19"/>
    </row>
    <row r="7" spans="1:13" x14ac:dyDescent="0.3">
      <c r="A7" s="20">
        <v>46054</v>
      </c>
      <c r="B7" s="5">
        <v>66</v>
      </c>
      <c r="C7" s="5" t="s">
        <v>11</v>
      </c>
      <c r="D7" s="14" t="s">
        <v>111</v>
      </c>
      <c r="E7" s="5" t="s">
        <v>98</v>
      </c>
      <c r="F7" s="6">
        <v>30</v>
      </c>
      <c r="G7" s="6">
        <v>359</v>
      </c>
      <c r="H7" s="15">
        <v>30</v>
      </c>
      <c r="I7" s="6">
        <f>H7*G7</f>
        <v>10770</v>
      </c>
      <c r="J7" s="14">
        <f t="shared" si="0"/>
        <v>1615.5</v>
      </c>
      <c r="K7" s="17">
        <f t="shared" si="1"/>
        <v>12385.5</v>
      </c>
      <c r="L7" s="18"/>
      <c r="M7" s="19"/>
    </row>
    <row r="8" spans="1:13" x14ac:dyDescent="0.3">
      <c r="A8" s="20">
        <v>46054</v>
      </c>
      <c r="B8" s="14">
        <v>66</v>
      </c>
      <c r="C8" s="5" t="s">
        <v>11</v>
      </c>
      <c r="D8" s="14" t="s">
        <v>111</v>
      </c>
      <c r="E8" s="5" t="s">
        <v>104</v>
      </c>
      <c r="F8" s="14">
        <v>23</v>
      </c>
      <c r="G8" s="14">
        <v>310</v>
      </c>
      <c r="H8" s="14">
        <v>23</v>
      </c>
      <c r="I8" s="14">
        <f t="shared" ref="I8:I168" si="2">H8*G8</f>
        <v>7130</v>
      </c>
      <c r="J8" s="14">
        <f t="shared" si="0"/>
        <v>1069.5</v>
      </c>
      <c r="K8" s="17">
        <f t="shared" si="1"/>
        <v>8199.5</v>
      </c>
      <c r="L8" s="7"/>
    </row>
    <row r="9" spans="1:13" x14ac:dyDescent="0.3">
      <c r="A9" s="20">
        <v>46055</v>
      </c>
      <c r="B9" s="5">
        <v>67</v>
      </c>
      <c r="C9" s="5" t="s">
        <v>11</v>
      </c>
      <c r="D9" s="5" t="s">
        <v>75</v>
      </c>
      <c r="E9" s="5" t="s">
        <v>61</v>
      </c>
      <c r="F9" s="5">
        <v>25</v>
      </c>
      <c r="G9" s="5">
        <v>62.5</v>
      </c>
      <c r="H9" s="5">
        <v>25</v>
      </c>
      <c r="I9" s="5">
        <f t="shared" si="2"/>
        <v>1562.5</v>
      </c>
      <c r="J9" s="5">
        <f t="shared" si="0"/>
        <v>234.375</v>
      </c>
      <c r="K9" s="72">
        <f t="shared" si="1"/>
        <v>1796.875</v>
      </c>
      <c r="L9" s="73"/>
      <c r="M9" s="19"/>
    </row>
    <row r="10" spans="1:13" x14ac:dyDescent="0.3">
      <c r="A10" s="20">
        <v>46055</v>
      </c>
      <c r="B10" s="14">
        <v>68</v>
      </c>
      <c r="C10" s="5" t="s">
        <v>11</v>
      </c>
      <c r="D10" s="5" t="s">
        <v>112</v>
      </c>
      <c r="E10" s="14" t="s">
        <v>55</v>
      </c>
      <c r="F10" s="14">
        <v>500</v>
      </c>
      <c r="G10" s="14">
        <v>170</v>
      </c>
      <c r="H10" s="5">
        <v>500</v>
      </c>
      <c r="I10" s="14">
        <f t="shared" si="2"/>
        <v>85000</v>
      </c>
      <c r="J10" s="5">
        <f t="shared" si="0"/>
        <v>12750</v>
      </c>
      <c r="K10" s="43">
        <f t="shared" si="1"/>
        <v>97750</v>
      </c>
      <c r="L10" s="41"/>
      <c r="M10" s="42"/>
    </row>
    <row r="11" spans="1:13" x14ac:dyDescent="0.3">
      <c r="A11" s="20">
        <v>46055</v>
      </c>
      <c r="B11" s="14">
        <v>69</v>
      </c>
      <c r="C11" s="5" t="s">
        <v>11</v>
      </c>
      <c r="D11" s="5" t="s">
        <v>96</v>
      </c>
      <c r="E11" s="14" t="s">
        <v>55</v>
      </c>
      <c r="F11" s="14">
        <v>100</v>
      </c>
      <c r="G11" s="14">
        <v>167</v>
      </c>
      <c r="H11" s="14">
        <v>100</v>
      </c>
      <c r="I11" s="14">
        <f t="shared" si="2"/>
        <v>16700</v>
      </c>
      <c r="J11" s="5">
        <f t="shared" si="0"/>
        <v>2505</v>
      </c>
      <c r="K11" s="40">
        <f t="shared" si="1"/>
        <v>19205</v>
      </c>
      <c r="L11" s="41"/>
      <c r="M11" s="42"/>
    </row>
    <row r="12" spans="1:13" x14ac:dyDescent="0.3">
      <c r="A12" s="20">
        <v>46056</v>
      </c>
      <c r="B12" s="14">
        <v>70</v>
      </c>
      <c r="C12" s="5" t="s">
        <v>11</v>
      </c>
      <c r="D12" s="5" t="s">
        <v>113</v>
      </c>
      <c r="E12" s="5" t="s">
        <v>55</v>
      </c>
      <c r="F12" s="14">
        <v>25</v>
      </c>
      <c r="G12" s="14">
        <v>167</v>
      </c>
      <c r="H12" s="14">
        <v>25</v>
      </c>
      <c r="I12" s="14">
        <f t="shared" si="2"/>
        <v>4175</v>
      </c>
      <c r="J12" s="5">
        <f t="shared" si="0"/>
        <v>626.25</v>
      </c>
      <c r="K12" s="40">
        <f t="shared" si="1"/>
        <v>4801.25</v>
      </c>
      <c r="L12" s="41"/>
      <c r="M12" s="42"/>
    </row>
    <row r="13" spans="1:13" x14ac:dyDescent="0.3">
      <c r="A13" s="20">
        <v>46056</v>
      </c>
      <c r="B13" s="14">
        <v>71</v>
      </c>
      <c r="C13" s="5" t="s">
        <v>11</v>
      </c>
      <c r="D13" s="5" t="s">
        <v>114</v>
      </c>
      <c r="E13" s="14" t="s">
        <v>77</v>
      </c>
      <c r="F13" s="14">
        <v>250</v>
      </c>
      <c r="G13" s="14">
        <v>40.5</v>
      </c>
      <c r="H13" s="14">
        <v>250</v>
      </c>
      <c r="I13" s="14">
        <f t="shared" si="2"/>
        <v>10125</v>
      </c>
      <c r="J13" s="5">
        <f t="shared" si="0"/>
        <v>1518.75</v>
      </c>
      <c r="K13" s="40">
        <f t="shared" si="1"/>
        <v>11643.75</v>
      </c>
      <c r="L13" s="41"/>
      <c r="M13" s="42"/>
    </row>
    <row r="14" spans="1:13" x14ac:dyDescent="0.3">
      <c r="A14" s="20">
        <v>46057</v>
      </c>
      <c r="B14" s="14">
        <v>72</v>
      </c>
      <c r="C14" s="5" t="s">
        <v>11</v>
      </c>
      <c r="D14" s="14" t="s">
        <v>115</v>
      </c>
      <c r="E14" s="14" t="s">
        <v>55</v>
      </c>
      <c r="F14" s="14">
        <v>20</v>
      </c>
      <c r="G14" s="14">
        <v>167</v>
      </c>
      <c r="H14" s="14">
        <v>20</v>
      </c>
      <c r="I14" s="14">
        <f t="shared" si="2"/>
        <v>3340</v>
      </c>
      <c r="J14" s="5">
        <f t="shared" si="0"/>
        <v>501</v>
      </c>
      <c r="K14" s="40">
        <f t="shared" si="1"/>
        <v>3841</v>
      </c>
      <c r="L14" s="41"/>
      <c r="M14" s="42"/>
    </row>
    <row r="15" spans="1:13" x14ac:dyDescent="0.3">
      <c r="A15" s="20">
        <v>46057</v>
      </c>
      <c r="B15" s="14">
        <v>73</v>
      </c>
      <c r="C15" s="5" t="s">
        <v>11</v>
      </c>
      <c r="D15" s="14" t="s">
        <v>116</v>
      </c>
      <c r="E15" s="14" t="s">
        <v>55</v>
      </c>
      <c r="F15" s="14">
        <v>150</v>
      </c>
      <c r="G15" s="14">
        <v>167</v>
      </c>
      <c r="H15" s="14">
        <v>150</v>
      </c>
      <c r="I15" s="14">
        <f t="shared" si="2"/>
        <v>25050</v>
      </c>
      <c r="J15" s="5">
        <f t="shared" si="0"/>
        <v>3757.5</v>
      </c>
      <c r="K15" s="40">
        <f t="shared" si="1"/>
        <v>28807.5</v>
      </c>
      <c r="L15" s="41"/>
      <c r="M15" s="19"/>
    </row>
    <row r="16" spans="1:13" x14ac:dyDescent="0.3">
      <c r="A16" s="20">
        <v>46057</v>
      </c>
      <c r="B16" s="14">
        <v>74</v>
      </c>
      <c r="C16" s="5" t="s">
        <v>11</v>
      </c>
      <c r="D16" s="14" t="s">
        <v>117</v>
      </c>
      <c r="E16" s="14" t="s">
        <v>55</v>
      </c>
      <c r="F16" s="14">
        <v>200</v>
      </c>
      <c r="G16" s="14">
        <v>167</v>
      </c>
      <c r="H16" s="14">
        <v>200</v>
      </c>
      <c r="I16" s="14">
        <f t="shared" si="2"/>
        <v>33400</v>
      </c>
      <c r="J16" s="5">
        <f t="shared" si="0"/>
        <v>5010</v>
      </c>
      <c r="K16" s="40">
        <f t="shared" si="1"/>
        <v>38410</v>
      </c>
      <c r="L16" s="41"/>
      <c r="M16" s="42"/>
    </row>
    <row r="17" spans="1:13" x14ac:dyDescent="0.3">
      <c r="A17" s="20">
        <v>46057</v>
      </c>
      <c r="B17" s="14">
        <v>75</v>
      </c>
      <c r="C17" s="5" t="s">
        <v>11</v>
      </c>
      <c r="D17" s="14" t="s">
        <v>113</v>
      </c>
      <c r="E17" s="14" t="s">
        <v>95</v>
      </c>
      <c r="F17" s="14">
        <v>7</v>
      </c>
      <c r="G17" s="14">
        <v>350</v>
      </c>
      <c r="H17" s="14">
        <v>7</v>
      </c>
      <c r="I17" s="14">
        <f t="shared" si="2"/>
        <v>2450</v>
      </c>
      <c r="J17" s="5">
        <f t="shared" si="0"/>
        <v>367.5</v>
      </c>
      <c r="K17" s="40">
        <f t="shared" si="1"/>
        <v>2817.5</v>
      </c>
      <c r="L17" s="41"/>
      <c r="M17" s="42"/>
    </row>
    <row r="18" spans="1:13" x14ac:dyDescent="0.3">
      <c r="A18" s="20">
        <v>46057</v>
      </c>
      <c r="B18" s="14">
        <v>76</v>
      </c>
      <c r="C18" s="5" t="s">
        <v>11</v>
      </c>
      <c r="D18" s="14" t="s">
        <v>75</v>
      </c>
      <c r="E18" s="14" t="s">
        <v>118</v>
      </c>
      <c r="F18" s="14">
        <v>1</v>
      </c>
      <c r="G18" s="14">
        <v>87</v>
      </c>
      <c r="H18" s="14">
        <v>1</v>
      </c>
      <c r="I18" s="14">
        <f t="shared" si="2"/>
        <v>87</v>
      </c>
      <c r="J18" s="5">
        <f t="shared" si="0"/>
        <v>13.049999999999999</v>
      </c>
      <c r="K18" s="74">
        <f t="shared" si="1"/>
        <v>100.05</v>
      </c>
      <c r="L18" s="75"/>
      <c r="M18" s="19"/>
    </row>
    <row r="19" spans="1:13" x14ac:dyDescent="0.3">
      <c r="A19" s="20">
        <v>46057</v>
      </c>
      <c r="B19" s="14">
        <v>76</v>
      </c>
      <c r="C19" s="5" t="s">
        <v>11</v>
      </c>
      <c r="D19" s="14" t="s">
        <v>75</v>
      </c>
      <c r="E19" s="5" t="s">
        <v>119</v>
      </c>
      <c r="F19" s="14">
        <v>1</v>
      </c>
      <c r="G19" s="14">
        <v>87</v>
      </c>
      <c r="H19" s="14">
        <v>1</v>
      </c>
      <c r="I19" s="14">
        <f t="shared" si="2"/>
        <v>87</v>
      </c>
      <c r="J19" s="5">
        <f t="shared" si="0"/>
        <v>13.049999999999999</v>
      </c>
      <c r="K19" s="74">
        <f t="shared" si="1"/>
        <v>100.05</v>
      </c>
      <c r="L19" s="75"/>
      <c r="M19" s="19"/>
    </row>
    <row r="20" spans="1:13" x14ac:dyDescent="0.3">
      <c r="A20" s="20">
        <v>46058</v>
      </c>
      <c r="B20" s="5">
        <v>77</v>
      </c>
      <c r="C20" s="5" t="s">
        <v>11</v>
      </c>
      <c r="D20" s="14" t="s">
        <v>115</v>
      </c>
      <c r="E20" s="14" t="s">
        <v>55</v>
      </c>
      <c r="F20" s="6">
        <v>20</v>
      </c>
      <c r="G20" s="6">
        <v>167</v>
      </c>
      <c r="H20" s="6">
        <v>20</v>
      </c>
      <c r="I20" s="14">
        <f t="shared" si="2"/>
        <v>3340</v>
      </c>
      <c r="J20" s="6">
        <f t="shared" si="0"/>
        <v>501</v>
      </c>
      <c r="K20" s="43">
        <f t="shared" si="1"/>
        <v>3841</v>
      </c>
      <c r="L20" s="41"/>
      <c r="M20" s="42"/>
    </row>
    <row r="21" spans="1:13" x14ac:dyDescent="0.3">
      <c r="A21" s="20">
        <v>46058</v>
      </c>
      <c r="B21" s="14">
        <v>78</v>
      </c>
      <c r="C21" s="5" t="s">
        <v>11</v>
      </c>
      <c r="D21" s="14" t="s">
        <v>116</v>
      </c>
      <c r="E21" s="14" t="s">
        <v>55</v>
      </c>
      <c r="F21" s="15">
        <v>100</v>
      </c>
      <c r="G21" s="14">
        <v>167</v>
      </c>
      <c r="H21" s="14">
        <v>100</v>
      </c>
      <c r="I21" s="14">
        <f t="shared" si="2"/>
        <v>16700</v>
      </c>
      <c r="J21" s="6">
        <f t="shared" si="0"/>
        <v>2505</v>
      </c>
      <c r="K21" s="43">
        <f t="shared" si="1"/>
        <v>19205</v>
      </c>
      <c r="L21" s="44"/>
      <c r="M21" s="19"/>
    </row>
    <row r="22" spans="1:13" x14ac:dyDescent="0.3">
      <c r="A22" s="20">
        <v>46058</v>
      </c>
      <c r="B22" s="5">
        <v>79</v>
      </c>
      <c r="C22" s="5" t="s">
        <v>11</v>
      </c>
      <c r="D22" s="5" t="s">
        <v>110</v>
      </c>
      <c r="E22" s="5" t="s">
        <v>21</v>
      </c>
      <c r="F22" s="6">
        <v>8</v>
      </c>
      <c r="G22" s="6">
        <v>425</v>
      </c>
      <c r="H22" s="6">
        <v>8</v>
      </c>
      <c r="I22" s="14">
        <f>H22*G22</f>
        <v>3400</v>
      </c>
      <c r="J22" s="6">
        <f t="shared" si="0"/>
        <v>510</v>
      </c>
      <c r="K22" s="61">
        <f t="shared" si="1"/>
        <v>3910</v>
      </c>
      <c r="L22" s="62"/>
      <c r="M22" s="64"/>
    </row>
    <row r="23" spans="1:13" x14ac:dyDescent="0.3">
      <c r="A23" s="20">
        <v>46058</v>
      </c>
      <c r="B23" s="5">
        <v>79</v>
      </c>
      <c r="C23" s="5" t="s">
        <v>11</v>
      </c>
      <c r="D23" s="5" t="s">
        <v>110</v>
      </c>
      <c r="E23" s="5" t="s">
        <v>98</v>
      </c>
      <c r="F23" s="6">
        <v>5</v>
      </c>
      <c r="G23" s="6">
        <v>356</v>
      </c>
      <c r="H23" s="6">
        <v>5</v>
      </c>
      <c r="I23" s="14">
        <f>H23*G23</f>
        <v>1780</v>
      </c>
      <c r="J23" s="6">
        <f t="shared" si="0"/>
        <v>267</v>
      </c>
      <c r="K23" s="61">
        <f t="shared" si="1"/>
        <v>2047</v>
      </c>
      <c r="L23" s="62"/>
      <c r="M23" s="64"/>
    </row>
    <row r="24" spans="1:13" x14ac:dyDescent="0.3">
      <c r="A24" s="20">
        <v>46058</v>
      </c>
      <c r="B24" s="5">
        <v>80</v>
      </c>
      <c r="C24" s="5" t="s">
        <v>11</v>
      </c>
      <c r="D24" s="5" t="s">
        <v>13</v>
      </c>
      <c r="E24" s="14" t="s">
        <v>55</v>
      </c>
      <c r="F24" s="6">
        <v>150</v>
      </c>
      <c r="G24" s="6">
        <v>167</v>
      </c>
      <c r="H24" s="15">
        <v>150</v>
      </c>
      <c r="I24" s="14">
        <f t="shared" si="2"/>
        <v>25050</v>
      </c>
      <c r="J24" s="6">
        <f t="shared" si="0"/>
        <v>3757.5</v>
      </c>
      <c r="K24" s="43">
        <f t="shared" si="1"/>
        <v>28807.5</v>
      </c>
      <c r="L24" s="44"/>
    </row>
    <row r="25" spans="1:13" x14ac:dyDescent="0.3">
      <c r="A25" s="20">
        <v>46058</v>
      </c>
      <c r="B25" s="5">
        <v>80</v>
      </c>
      <c r="C25" s="5" t="s">
        <v>11</v>
      </c>
      <c r="D25" s="5" t="s">
        <v>13</v>
      </c>
      <c r="E25" s="14" t="s">
        <v>95</v>
      </c>
      <c r="F25" s="6">
        <v>100</v>
      </c>
      <c r="G25" s="6">
        <v>348</v>
      </c>
      <c r="H25" s="15">
        <v>100</v>
      </c>
      <c r="I25" s="14">
        <f t="shared" si="2"/>
        <v>34800</v>
      </c>
      <c r="J25" s="6">
        <f t="shared" si="0"/>
        <v>5220</v>
      </c>
      <c r="K25" s="43">
        <f t="shared" si="1"/>
        <v>40020</v>
      </c>
      <c r="L25" s="44"/>
      <c r="M25" s="19"/>
    </row>
    <row r="26" spans="1:13" x14ac:dyDescent="0.3">
      <c r="A26" s="20">
        <v>46058</v>
      </c>
      <c r="B26" s="5">
        <v>81</v>
      </c>
      <c r="C26" s="5" t="s">
        <v>11</v>
      </c>
      <c r="D26" s="5" t="s">
        <v>120</v>
      </c>
      <c r="E26" s="14" t="s">
        <v>55</v>
      </c>
      <c r="F26" s="6">
        <v>100</v>
      </c>
      <c r="G26" s="6">
        <v>167</v>
      </c>
      <c r="H26" s="15">
        <v>100</v>
      </c>
      <c r="I26" s="14">
        <f t="shared" si="2"/>
        <v>16700</v>
      </c>
      <c r="J26" s="6">
        <f t="shared" si="0"/>
        <v>2505</v>
      </c>
      <c r="K26" s="43">
        <f t="shared" si="1"/>
        <v>19205</v>
      </c>
      <c r="L26" s="44"/>
      <c r="M26" s="42"/>
    </row>
    <row r="27" spans="1:13" x14ac:dyDescent="0.3">
      <c r="A27" s="20">
        <v>46058</v>
      </c>
      <c r="B27" s="5">
        <v>82</v>
      </c>
      <c r="C27" s="5" t="s">
        <v>11</v>
      </c>
      <c r="D27" s="5" t="s">
        <v>131</v>
      </c>
      <c r="E27" s="5" t="s">
        <v>104</v>
      </c>
      <c r="F27" s="6">
        <v>105</v>
      </c>
      <c r="G27" s="6">
        <v>309</v>
      </c>
      <c r="H27" s="15">
        <v>105</v>
      </c>
      <c r="I27" s="6">
        <f t="shared" si="2"/>
        <v>32445</v>
      </c>
      <c r="J27" s="6">
        <f t="shared" si="0"/>
        <v>4866.75</v>
      </c>
      <c r="K27" s="58">
        <f t="shared" si="1"/>
        <v>37311.75</v>
      </c>
      <c r="L27" s="59"/>
      <c r="M27" s="60"/>
    </row>
    <row r="28" spans="1:13" x14ac:dyDescent="0.3">
      <c r="A28" s="20">
        <v>46058</v>
      </c>
      <c r="B28" s="5">
        <v>83</v>
      </c>
      <c r="C28" s="5" t="s">
        <v>11</v>
      </c>
      <c r="D28" s="5" t="s">
        <v>75</v>
      </c>
      <c r="E28" s="5" t="s">
        <v>83</v>
      </c>
      <c r="F28" s="6">
        <v>10</v>
      </c>
      <c r="G28" s="6">
        <v>320</v>
      </c>
      <c r="H28" s="6">
        <v>10</v>
      </c>
      <c r="I28" s="6">
        <f t="shared" si="2"/>
        <v>3200</v>
      </c>
      <c r="J28" s="6">
        <f t="shared" si="0"/>
        <v>480</v>
      </c>
      <c r="K28" s="61">
        <f t="shared" si="1"/>
        <v>3680</v>
      </c>
      <c r="L28" s="62"/>
      <c r="M28" s="19"/>
    </row>
    <row r="29" spans="1:13" x14ac:dyDescent="0.3">
      <c r="A29" s="20">
        <v>46060</v>
      </c>
      <c r="B29" s="5">
        <v>84</v>
      </c>
      <c r="C29" s="5" t="s">
        <v>11</v>
      </c>
      <c r="D29" s="14" t="s">
        <v>115</v>
      </c>
      <c r="E29" s="14" t="s">
        <v>55</v>
      </c>
      <c r="F29" s="6">
        <v>20</v>
      </c>
      <c r="G29" s="6">
        <v>168</v>
      </c>
      <c r="H29" s="15">
        <v>20</v>
      </c>
      <c r="I29" s="6">
        <f t="shared" si="2"/>
        <v>3360</v>
      </c>
      <c r="J29" s="6">
        <f t="shared" si="0"/>
        <v>504</v>
      </c>
      <c r="K29" s="43">
        <f t="shared" si="1"/>
        <v>3864</v>
      </c>
      <c r="L29" s="44"/>
      <c r="M29" s="46"/>
    </row>
    <row r="30" spans="1:13" x14ac:dyDescent="0.3">
      <c r="A30" s="20">
        <v>46060</v>
      </c>
      <c r="B30" s="5">
        <v>85</v>
      </c>
      <c r="C30" s="5" t="s">
        <v>11</v>
      </c>
      <c r="D30" s="5" t="s">
        <v>122</v>
      </c>
      <c r="E30" s="5" t="s">
        <v>95</v>
      </c>
      <c r="F30" s="6">
        <v>50</v>
      </c>
      <c r="G30" s="6">
        <v>350</v>
      </c>
      <c r="H30" s="15">
        <v>50</v>
      </c>
      <c r="I30" s="6">
        <f t="shared" si="2"/>
        <v>17500</v>
      </c>
      <c r="J30" s="6">
        <f t="shared" si="0"/>
        <v>2625</v>
      </c>
      <c r="K30" s="9">
        <f t="shared" si="1"/>
        <v>20125</v>
      </c>
      <c r="L30" s="10"/>
    </row>
    <row r="31" spans="1:13" x14ac:dyDescent="0.3">
      <c r="A31" s="20">
        <v>46060</v>
      </c>
      <c r="B31" s="5">
        <v>85</v>
      </c>
      <c r="C31" s="5" t="s">
        <v>11</v>
      </c>
      <c r="D31" s="5" t="s">
        <v>122</v>
      </c>
      <c r="E31" s="5" t="s">
        <v>21</v>
      </c>
      <c r="F31" s="6">
        <v>10</v>
      </c>
      <c r="G31" s="6">
        <v>427</v>
      </c>
      <c r="H31" s="15">
        <v>10</v>
      </c>
      <c r="I31" s="6">
        <f t="shared" si="2"/>
        <v>4270</v>
      </c>
      <c r="J31" s="6">
        <f t="shared" si="0"/>
        <v>640.5</v>
      </c>
      <c r="K31" s="9">
        <f t="shared" si="1"/>
        <v>4910.5</v>
      </c>
      <c r="L31" s="10"/>
    </row>
    <row r="32" spans="1:13" x14ac:dyDescent="0.3">
      <c r="A32" s="20">
        <v>46060</v>
      </c>
      <c r="B32" s="5">
        <v>85</v>
      </c>
      <c r="C32" s="5" t="s">
        <v>11</v>
      </c>
      <c r="D32" s="5" t="s">
        <v>122</v>
      </c>
      <c r="E32" s="5" t="s">
        <v>128</v>
      </c>
      <c r="F32" s="6">
        <v>120</v>
      </c>
      <c r="G32" s="6">
        <v>10.5</v>
      </c>
      <c r="H32" s="15">
        <v>120</v>
      </c>
      <c r="I32" s="6">
        <f t="shared" si="2"/>
        <v>1260</v>
      </c>
      <c r="J32" s="6">
        <f t="shared" si="0"/>
        <v>189</v>
      </c>
      <c r="K32" s="9">
        <f t="shared" si="1"/>
        <v>1449</v>
      </c>
      <c r="L32" s="10"/>
    </row>
    <row r="33" spans="1:13" x14ac:dyDescent="0.3">
      <c r="A33" s="20">
        <v>46060</v>
      </c>
      <c r="B33" s="5">
        <v>86</v>
      </c>
      <c r="C33" s="5" t="s">
        <v>11</v>
      </c>
      <c r="D33" s="5" t="s">
        <v>123</v>
      </c>
      <c r="E33" s="5" t="s">
        <v>98</v>
      </c>
      <c r="F33" s="6">
        <v>5</v>
      </c>
      <c r="G33" s="6">
        <v>356</v>
      </c>
      <c r="H33" s="15">
        <v>5</v>
      </c>
      <c r="I33" s="6">
        <f t="shared" si="2"/>
        <v>1780</v>
      </c>
      <c r="J33" s="6">
        <f t="shared" si="0"/>
        <v>267</v>
      </c>
      <c r="K33" s="43">
        <f t="shared" si="1"/>
        <v>2047</v>
      </c>
      <c r="L33" s="44"/>
      <c r="M33" s="65"/>
    </row>
    <row r="34" spans="1:13" x14ac:dyDescent="0.3">
      <c r="A34" s="20">
        <v>46060</v>
      </c>
      <c r="B34" s="5">
        <v>87</v>
      </c>
      <c r="C34" s="5" t="s">
        <v>11</v>
      </c>
      <c r="D34" s="5" t="s">
        <v>116</v>
      </c>
      <c r="E34" s="5" t="s">
        <v>124</v>
      </c>
      <c r="F34" s="6">
        <v>54</v>
      </c>
      <c r="G34" s="6">
        <v>348</v>
      </c>
      <c r="H34" s="15">
        <v>54</v>
      </c>
      <c r="I34" s="6">
        <f t="shared" si="2"/>
        <v>18792</v>
      </c>
      <c r="J34" s="6">
        <f t="shared" si="0"/>
        <v>2818.7999999999997</v>
      </c>
      <c r="K34" s="43">
        <f t="shared" si="1"/>
        <v>21610.799999999999</v>
      </c>
      <c r="L34" s="44"/>
      <c r="M34" s="65"/>
    </row>
    <row r="35" spans="1:13" x14ac:dyDescent="0.3">
      <c r="A35" s="20">
        <v>46060</v>
      </c>
      <c r="B35" s="5">
        <v>88</v>
      </c>
      <c r="C35" s="5" t="s">
        <v>11</v>
      </c>
      <c r="D35" s="5" t="s">
        <v>125</v>
      </c>
      <c r="E35" s="14" t="s">
        <v>55</v>
      </c>
      <c r="F35" s="6">
        <v>50</v>
      </c>
      <c r="G35" s="6">
        <v>167</v>
      </c>
      <c r="H35" s="6">
        <v>50</v>
      </c>
      <c r="I35" s="6">
        <f t="shared" si="2"/>
        <v>8350</v>
      </c>
      <c r="J35" s="6">
        <f t="shared" si="0"/>
        <v>1252.5</v>
      </c>
      <c r="K35" s="43">
        <f t="shared" si="1"/>
        <v>9602.5</v>
      </c>
      <c r="L35" s="44"/>
      <c r="M35" s="46"/>
    </row>
    <row r="36" spans="1:13" x14ac:dyDescent="0.3">
      <c r="A36" s="20">
        <v>46060</v>
      </c>
      <c r="B36" s="5">
        <v>89</v>
      </c>
      <c r="C36" s="5" t="s">
        <v>11</v>
      </c>
      <c r="D36" s="5" t="s">
        <v>110</v>
      </c>
      <c r="E36" s="5" t="s">
        <v>21</v>
      </c>
      <c r="F36" s="6">
        <v>10</v>
      </c>
      <c r="G36" s="6">
        <v>425</v>
      </c>
      <c r="H36" s="6">
        <v>10</v>
      </c>
      <c r="I36" s="6">
        <f t="shared" si="2"/>
        <v>4250</v>
      </c>
      <c r="J36" s="6">
        <f t="shared" si="0"/>
        <v>637.5</v>
      </c>
      <c r="K36" s="9">
        <f t="shared" si="1"/>
        <v>4887.5</v>
      </c>
      <c r="L36" s="10"/>
    </row>
    <row r="37" spans="1:13" x14ac:dyDescent="0.3">
      <c r="A37" s="20">
        <v>46060</v>
      </c>
      <c r="B37" s="5">
        <v>89</v>
      </c>
      <c r="C37" s="5" t="s">
        <v>11</v>
      </c>
      <c r="D37" s="5" t="s">
        <v>110</v>
      </c>
      <c r="E37" s="14" t="s">
        <v>55</v>
      </c>
      <c r="F37" s="6">
        <v>7</v>
      </c>
      <c r="G37" s="6">
        <v>167</v>
      </c>
      <c r="H37" s="6">
        <v>7</v>
      </c>
      <c r="I37" s="6">
        <f t="shared" si="2"/>
        <v>1169</v>
      </c>
      <c r="J37" s="6">
        <f t="shared" si="0"/>
        <v>175.35</v>
      </c>
      <c r="K37" s="9">
        <f t="shared" si="1"/>
        <v>1344.35</v>
      </c>
      <c r="L37" s="10"/>
    </row>
    <row r="38" spans="1:13" x14ac:dyDescent="0.3">
      <c r="A38" s="20">
        <v>46060</v>
      </c>
      <c r="B38" s="5">
        <v>90</v>
      </c>
      <c r="C38" s="5" t="s">
        <v>11</v>
      </c>
      <c r="D38" s="5" t="s">
        <v>100</v>
      </c>
      <c r="E38" s="5" t="s">
        <v>126</v>
      </c>
      <c r="F38" s="6">
        <v>751</v>
      </c>
      <c r="G38" s="6">
        <v>308</v>
      </c>
      <c r="H38" s="6">
        <v>751</v>
      </c>
      <c r="I38" s="6">
        <f t="shared" si="2"/>
        <v>231308</v>
      </c>
      <c r="J38" s="6">
        <f t="shared" si="0"/>
        <v>34696.199999999997</v>
      </c>
      <c r="K38" s="9">
        <f t="shared" si="1"/>
        <v>266004.2</v>
      </c>
      <c r="L38" s="10"/>
    </row>
    <row r="39" spans="1:13" x14ac:dyDescent="0.3">
      <c r="A39" s="20">
        <v>46060</v>
      </c>
      <c r="B39" s="5">
        <v>90</v>
      </c>
      <c r="C39" s="5" t="s">
        <v>11</v>
      </c>
      <c r="D39" s="14" t="s">
        <v>100</v>
      </c>
      <c r="E39" s="5" t="s">
        <v>48</v>
      </c>
      <c r="F39" s="6">
        <v>30</v>
      </c>
      <c r="G39" s="6">
        <v>756</v>
      </c>
      <c r="H39" s="6">
        <v>30</v>
      </c>
      <c r="I39" s="6">
        <f t="shared" si="2"/>
        <v>22680</v>
      </c>
      <c r="J39" s="6">
        <f t="shared" si="0"/>
        <v>3402</v>
      </c>
      <c r="K39" s="9">
        <f t="shared" si="1"/>
        <v>26082</v>
      </c>
      <c r="L39" s="10"/>
      <c r="M39" s="19"/>
    </row>
    <row r="40" spans="1:13" x14ac:dyDescent="0.3">
      <c r="A40" s="20">
        <v>46060</v>
      </c>
      <c r="B40" s="5">
        <v>90</v>
      </c>
      <c r="C40" s="5" t="s">
        <v>11</v>
      </c>
      <c r="D40" s="14" t="s">
        <v>100</v>
      </c>
      <c r="E40" s="5" t="s">
        <v>153</v>
      </c>
      <c r="F40" s="6">
        <v>569</v>
      </c>
      <c r="G40" s="6">
        <v>350</v>
      </c>
      <c r="H40" s="6">
        <v>569</v>
      </c>
      <c r="I40" s="6">
        <f t="shared" si="2"/>
        <v>199150</v>
      </c>
      <c r="J40" s="6">
        <f t="shared" si="0"/>
        <v>29872.5</v>
      </c>
      <c r="K40" s="9">
        <f t="shared" si="1"/>
        <v>229022.5</v>
      </c>
      <c r="L40" s="10"/>
      <c r="M40" s="19"/>
    </row>
    <row r="41" spans="1:13" x14ac:dyDescent="0.3">
      <c r="A41" s="20">
        <v>46060</v>
      </c>
      <c r="B41" s="5">
        <v>91</v>
      </c>
      <c r="C41" s="5" t="s">
        <v>11</v>
      </c>
      <c r="D41" s="14" t="s">
        <v>129</v>
      </c>
      <c r="E41" s="14" t="s">
        <v>130</v>
      </c>
      <c r="F41" s="6">
        <v>114.2</v>
      </c>
      <c r="G41" s="6">
        <v>31</v>
      </c>
      <c r="H41" s="6">
        <v>114.2</v>
      </c>
      <c r="I41" s="6">
        <f t="shared" si="2"/>
        <v>3540.2000000000003</v>
      </c>
      <c r="J41" s="6">
        <f t="shared" si="0"/>
        <v>531.03</v>
      </c>
      <c r="K41" s="9">
        <f t="shared" si="1"/>
        <v>4071.2300000000005</v>
      </c>
      <c r="L41" s="10"/>
      <c r="M41" s="19"/>
    </row>
    <row r="42" spans="1:13" x14ac:dyDescent="0.3">
      <c r="A42" s="20">
        <v>46060</v>
      </c>
      <c r="B42" s="5">
        <v>92</v>
      </c>
      <c r="C42" s="5" t="s">
        <v>11</v>
      </c>
      <c r="D42" s="5" t="s">
        <v>75</v>
      </c>
      <c r="E42" s="5" t="s">
        <v>91</v>
      </c>
      <c r="F42" s="6">
        <v>15</v>
      </c>
      <c r="G42" s="6">
        <v>18.8</v>
      </c>
      <c r="H42" s="6">
        <v>220.43</v>
      </c>
      <c r="I42" s="6">
        <f t="shared" si="2"/>
        <v>4144.0839999999998</v>
      </c>
      <c r="J42" s="6">
        <f t="shared" si="0"/>
        <v>621.61259999999993</v>
      </c>
      <c r="K42" s="58">
        <f t="shared" si="1"/>
        <v>4765.6965999999993</v>
      </c>
      <c r="L42" s="59"/>
      <c r="M42" s="60"/>
    </row>
    <row r="43" spans="1:13" x14ac:dyDescent="0.3">
      <c r="A43" s="20">
        <v>46062</v>
      </c>
      <c r="B43" s="5">
        <v>93</v>
      </c>
      <c r="C43" s="5" t="s">
        <v>11</v>
      </c>
      <c r="D43" s="14" t="s">
        <v>75</v>
      </c>
      <c r="E43" s="14" t="s">
        <v>55</v>
      </c>
      <c r="F43" s="6">
        <v>25</v>
      </c>
      <c r="G43" s="6">
        <v>167</v>
      </c>
      <c r="H43" s="6">
        <v>25</v>
      </c>
      <c r="I43" s="6">
        <f t="shared" si="2"/>
        <v>4175</v>
      </c>
      <c r="J43" s="6">
        <f t="shared" si="0"/>
        <v>626.25</v>
      </c>
      <c r="K43" s="61">
        <f t="shared" si="1"/>
        <v>4801.25</v>
      </c>
      <c r="L43" s="62"/>
      <c r="M43" s="19"/>
    </row>
    <row r="44" spans="1:13" x14ac:dyDescent="0.3">
      <c r="A44" s="20">
        <v>46060</v>
      </c>
      <c r="B44" s="5">
        <v>94</v>
      </c>
      <c r="C44" s="5" t="s">
        <v>11</v>
      </c>
      <c r="D44" s="14" t="s">
        <v>132</v>
      </c>
      <c r="E44" s="5" t="s">
        <v>109</v>
      </c>
      <c r="F44" s="6">
        <v>10</v>
      </c>
      <c r="G44" s="6">
        <v>350</v>
      </c>
      <c r="H44" s="6">
        <v>10</v>
      </c>
      <c r="I44" s="6">
        <f t="shared" si="2"/>
        <v>3500</v>
      </c>
      <c r="J44" s="6">
        <f t="shared" si="0"/>
        <v>525</v>
      </c>
      <c r="K44" s="43">
        <f t="shared" si="1"/>
        <v>4025</v>
      </c>
      <c r="L44" s="44"/>
      <c r="M44" s="42"/>
    </row>
    <row r="45" spans="1:13" x14ac:dyDescent="0.3">
      <c r="A45" s="20">
        <v>46060</v>
      </c>
      <c r="B45" s="5">
        <v>94</v>
      </c>
      <c r="C45" s="5" t="s">
        <v>11</v>
      </c>
      <c r="D45" s="14" t="s">
        <v>132</v>
      </c>
      <c r="E45" s="5" t="s">
        <v>105</v>
      </c>
      <c r="F45" s="6">
        <v>10</v>
      </c>
      <c r="G45" s="6">
        <v>350</v>
      </c>
      <c r="H45" s="6">
        <v>10</v>
      </c>
      <c r="I45" s="6">
        <f t="shared" si="2"/>
        <v>3500</v>
      </c>
      <c r="J45" s="6">
        <f t="shared" si="0"/>
        <v>525</v>
      </c>
      <c r="K45" s="43">
        <f t="shared" si="1"/>
        <v>4025</v>
      </c>
      <c r="L45" s="44"/>
      <c r="M45" s="46"/>
    </row>
    <row r="46" spans="1:13" x14ac:dyDescent="0.3">
      <c r="A46" s="20">
        <v>46060</v>
      </c>
      <c r="B46" s="5">
        <v>94</v>
      </c>
      <c r="C46" s="5" t="s">
        <v>11</v>
      </c>
      <c r="D46" s="5" t="s">
        <v>132</v>
      </c>
      <c r="E46" s="5" t="s">
        <v>98</v>
      </c>
      <c r="F46" s="6">
        <v>10</v>
      </c>
      <c r="G46" s="6">
        <v>357</v>
      </c>
      <c r="H46" s="6">
        <v>10</v>
      </c>
      <c r="I46" s="6">
        <f t="shared" si="2"/>
        <v>3570</v>
      </c>
      <c r="J46" s="6">
        <f t="shared" si="0"/>
        <v>535.5</v>
      </c>
      <c r="K46" s="43">
        <f t="shared" si="1"/>
        <v>4105.5</v>
      </c>
      <c r="L46" s="44"/>
      <c r="M46" s="42"/>
    </row>
    <row r="47" spans="1:13" x14ac:dyDescent="0.3">
      <c r="A47" s="20">
        <v>46061</v>
      </c>
      <c r="B47" s="5">
        <v>95</v>
      </c>
      <c r="C47" s="5" t="s">
        <v>11</v>
      </c>
      <c r="D47" s="5" t="s">
        <v>112</v>
      </c>
      <c r="E47" s="14" t="s">
        <v>55</v>
      </c>
      <c r="F47" s="6">
        <v>516</v>
      </c>
      <c r="G47" s="6">
        <v>170</v>
      </c>
      <c r="H47" s="6">
        <v>516</v>
      </c>
      <c r="I47" s="6">
        <f t="shared" si="2"/>
        <v>87720</v>
      </c>
      <c r="J47" s="6">
        <f t="shared" si="0"/>
        <v>13158</v>
      </c>
      <c r="K47" s="43">
        <f t="shared" si="1"/>
        <v>100878</v>
      </c>
      <c r="L47" s="44"/>
      <c r="M47" s="46"/>
    </row>
    <row r="48" spans="1:13" x14ac:dyDescent="0.3">
      <c r="A48" s="20">
        <v>46061</v>
      </c>
      <c r="B48" s="5">
        <v>96</v>
      </c>
      <c r="C48" s="5" t="s">
        <v>11</v>
      </c>
      <c r="D48" s="5" t="s">
        <v>113</v>
      </c>
      <c r="E48" s="14" t="s">
        <v>95</v>
      </c>
      <c r="F48" s="6">
        <v>7</v>
      </c>
      <c r="G48" s="6">
        <v>350</v>
      </c>
      <c r="H48" s="6">
        <v>7</v>
      </c>
      <c r="I48" s="6">
        <f t="shared" si="2"/>
        <v>2450</v>
      </c>
      <c r="J48" s="6">
        <f t="shared" si="0"/>
        <v>367.5</v>
      </c>
      <c r="K48" s="43">
        <f t="shared" si="1"/>
        <v>2817.5</v>
      </c>
      <c r="L48" s="44"/>
      <c r="M48" s="46"/>
    </row>
    <row r="49" spans="1:13" x14ac:dyDescent="0.3">
      <c r="A49" s="20">
        <v>46061</v>
      </c>
      <c r="B49" s="5">
        <v>97</v>
      </c>
      <c r="C49" s="5" t="s">
        <v>11</v>
      </c>
      <c r="D49" s="14" t="s">
        <v>82</v>
      </c>
      <c r="E49" s="14" t="s">
        <v>55</v>
      </c>
      <c r="F49" s="6">
        <v>150</v>
      </c>
      <c r="G49" s="6">
        <v>168</v>
      </c>
      <c r="H49" s="15">
        <v>150</v>
      </c>
      <c r="I49" s="6">
        <f t="shared" si="2"/>
        <v>25200</v>
      </c>
      <c r="J49" s="6">
        <f t="shared" si="0"/>
        <v>3780</v>
      </c>
      <c r="K49" s="9">
        <f t="shared" si="1"/>
        <v>28980</v>
      </c>
      <c r="L49" s="10"/>
    </row>
    <row r="50" spans="1:13" x14ac:dyDescent="0.3">
      <c r="A50" s="78">
        <v>46064</v>
      </c>
      <c r="B50" s="79">
        <v>1</v>
      </c>
      <c r="C50" s="79" t="s">
        <v>146</v>
      </c>
      <c r="D50" s="80" t="s">
        <v>82</v>
      </c>
      <c r="E50" s="79" t="s">
        <v>55</v>
      </c>
      <c r="F50" s="81">
        <v>-150</v>
      </c>
      <c r="G50" s="81">
        <v>168</v>
      </c>
      <c r="H50" s="82">
        <v>-150</v>
      </c>
      <c r="I50" s="81">
        <f t="shared" si="2"/>
        <v>-25200</v>
      </c>
      <c r="J50" s="81">
        <f t="shared" si="0"/>
        <v>-3780</v>
      </c>
      <c r="K50" s="83">
        <f t="shared" si="1"/>
        <v>-28980</v>
      </c>
      <c r="L50" s="84"/>
    </row>
    <row r="51" spans="1:13" x14ac:dyDescent="0.3">
      <c r="A51" s="20">
        <v>46061</v>
      </c>
      <c r="B51" s="5">
        <v>98</v>
      </c>
      <c r="C51" s="5" t="s">
        <v>11</v>
      </c>
      <c r="D51" s="14" t="s">
        <v>134</v>
      </c>
      <c r="E51" s="5" t="s">
        <v>73</v>
      </c>
      <c r="F51" s="6">
        <v>213</v>
      </c>
      <c r="G51" s="6">
        <v>410</v>
      </c>
      <c r="H51" s="6">
        <v>213</v>
      </c>
      <c r="I51" s="6">
        <f t="shared" si="2"/>
        <v>87330</v>
      </c>
      <c r="J51" s="6">
        <f t="shared" si="0"/>
        <v>13099.5</v>
      </c>
      <c r="K51" s="9">
        <f t="shared" si="1"/>
        <v>100429.5</v>
      </c>
      <c r="L51" s="10"/>
    </row>
    <row r="52" spans="1:13" x14ac:dyDescent="0.3">
      <c r="A52" s="20">
        <v>46061</v>
      </c>
      <c r="B52" s="5">
        <v>98</v>
      </c>
      <c r="C52" s="5" t="s">
        <v>11</v>
      </c>
      <c r="D52" s="5" t="s">
        <v>134</v>
      </c>
      <c r="E52" s="5" t="s">
        <v>64</v>
      </c>
      <c r="F52" s="6">
        <v>178</v>
      </c>
      <c r="G52" s="6">
        <v>413</v>
      </c>
      <c r="H52" s="6">
        <v>178</v>
      </c>
      <c r="I52" s="6">
        <f t="shared" si="2"/>
        <v>73514</v>
      </c>
      <c r="J52" s="6">
        <f t="shared" si="0"/>
        <v>11027.1</v>
      </c>
      <c r="K52" s="9">
        <f t="shared" si="1"/>
        <v>84541.1</v>
      </c>
      <c r="L52" s="10"/>
    </row>
    <row r="53" spans="1:13" x14ac:dyDescent="0.3">
      <c r="A53" s="20">
        <v>46061</v>
      </c>
      <c r="B53" s="5">
        <v>98</v>
      </c>
      <c r="C53" s="5" t="s">
        <v>11</v>
      </c>
      <c r="D53" s="5" t="s">
        <v>134</v>
      </c>
      <c r="E53" s="5" t="s">
        <v>21</v>
      </c>
      <c r="F53" s="6">
        <v>33</v>
      </c>
      <c r="G53" s="6">
        <v>415</v>
      </c>
      <c r="H53" s="6">
        <v>33</v>
      </c>
      <c r="I53" s="6">
        <f t="shared" si="2"/>
        <v>13695</v>
      </c>
      <c r="J53" s="6">
        <f t="shared" si="0"/>
        <v>2054.25</v>
      </c>
      <c r="K53" s="9">
        <f t="shared" si="1"/>
        <v>15749.25</v>
      </c>
      <c r="L53" s="10"/>
      <c r="M53" s="19"/>
    </row>
    <row r="54" spans="1:13" x14ac:dyDescent="0.3">
      <c r="A54" s="78">
        <v>46072</v>
      </c>
      <c r="B54" s="79">
        <v>3</v>
      </c>
      <c r="C54" s="79" t="s">
        <v>146</v>
      </c>
      <c r="D54" s="80" t="s">
        <v>134</v>
      </c>
      <c r="E54" s="79" t="s">
        <v>73</v>
      </c>
      <c r="F54" s="81">
        <v>-213</v>
      </c>
      <c r="G54" s="81">
        <v>410</v>
      </c>
      <c r="H54" s="81">
        <v>-213</v>
      </c>
      <c r="I54" s="81">
        <f t="shared" si="2"/>
        <v>-87330</v>
      </c>
      <c r="J54" s="81">
        <f t="shared" si="0"/>
        <v>-13099.5</v>
      </c>
      <c r="K54" s="83">
        <f t="shared" si="1"/>
        <v>-100429.5</v>
      </c>
      <c r="L54" s="84"/>
      <c r="M54" s="19"/>
    </row>
    <row r="55" spans="1:13" x14ac:dyDescent="0.3">
      <c r="A55" s="78">
        <v>46072</v>
      </c>
      <c r="B55" s="79">
        <v>3</v>
      </c>
      <c r="C55" s="79" t="s">
        <v>146</v>
      </c>
      <c r="D55" s="79" t="s">
        <v>134</v>
      </c>
      <c r="E55" s="79" t="s">
        <v>64</v>
      </c>
      <c r="F55" s="81">
        <v>-178</v>
      </c>
      <c r="G55" s="81">
        <v>413</v>
      </c>
      <c r="H55" s="81">
        <v>-178</v>
      </c>
      <c r="I55" s="81">
        <f t="shared" si="2"/>
        <v>-73514</v>
      </c>
      <c r="J55" s="81">
        <f t="shared" si="0"/>
        <v>-11027.1</v>
      </c>
      <c r="K55" s="83">
        <f t="shared" si="1"/>
        <v>-84541.1</v>
      </c>
      <c r="L55" s="84"/>
      <c r="M55" s="19"/>
    </row>
    <row r="56" spans="1:13" x14ac:dyDescent="0.3">
      <c r="A56" s="78">
        <v>46072</v>
      </c>
      <c r="B56" s="79">
        <v>3</v>
      </c>
      <c r="C56" s="79" t="s">
        <v>146</v>
      </c>
      <c r="D56" s="79" t="s">
        <v>134</v>
      </c>
      <c r="E56" s="79" t="s">
        <v>21</v>
      </c>
      <c r="F56" s="81">
        <v>-33</v>
      </c>
      <c r="G56" s="81">
        <v>415</v>
      </c>
      <c r="H56" s="81">
        <v>-33</v>
      </c>
      <c r="I56" s="81">
        <f t="shared" si="2"/>
        <v>-13695</v>
      </c>
      <c r="J56" s="81">
        <f t="shared" si="0"/>
        <v>-2054.25</v>
      </c>
      <c r="K56" s="83">
        <f t="shared" si="1"/>
        <v>-15749.25</v>
      </c>
      <c r="L56" s="84"/>
      <c r="M56" s="19"/>
    </row>
    <row r="57" spans="1:13" x14ac:dyDescent="0.3">
      <c r="A57" s="20">
        <v>46062</v>
      </c>
      <c r="B57" s="5">
        <v>99</v>
      </c>
      <c r="C57" s="5" t="s">
        <v>11</v>
      </c>
      <c r="D57" s="5" t="s">
        <v>122</v>
      </c>
      <c r="E57" s="14" t="s">
        <v>95</v>
      </c>
      <c r="F57" s="6">
        <v>50</v>
      </c>
      <c r="G57" s="6">
        <v>350</v>
      </c>
      <c r="H57" s="6">
        <v>50</v>
      </c>
      <c r="I57" s="6">
        <f t="shared" si="2"/>
        <v>17500</v>
      </c>
      <c r="J57" s="6">
        <f t="shared" si="0"/>
        <v>2625</v>
      </c>
      <c r="K57" s="9">
        <f t="shared" si="1"/>
        <v>20125</v>
      </c>
      <c r="L57" s="10"/>
    </row>
    <row r="58" spans="1:13" x14ac:dyDescent="0.3">
      <c r="A58" s="20">
        <v>46062</v>
      </c>
      <c r="B58" s="5">
        <v>100</v>
      </c>
      <c r="C58" s="5" t="s">
        <v>11</v>
      </c>
      <c r="D58" s="14" t="s">
        <v>116</v>
      </c>
      <c r="E58" s="14" t="s">
        <v>55</v>
      </c>
      <c r="F58" s="6">
        <v>100</v>
      </c>
      <c r="G58" s="6">
        <v>167</v>
      </c>
      <c r="H58" s="6">
        <v>100</v>
      </c>
      <c r="I58" s="6">
        <f t="shared" si="2"/>
        <v>16700</v>
      </c>
      <c r="J58" s="6">
        <f t="shared" si="0"/>
        <v>2505</v>
      </c>
      <c r="K58" s="43">
        <f t="shared" si="1"/>
        <v>19205</v>
      </c>
      <c r="L58" s="44"/>
      <c r="M58" s="46"/>
    </row>
    <row r="59" spans="1:13" x14ac:dyDescent="0.3">
      <c r="A59" s="20">
        <v>46062</v>
      </c>
      <c r="B59" s="5">
        <v>101</v>
      </c>
      <c r="C59" s="5" t="s">
        <v>11</v>
      </c>
      <c r="D59" s="14" t="s">
        <v>113</v>
      </c>
      <c r="E59" s="14" t="s">
        <v>95</v>
      </c>
      <c r="F59" s="6">
        <v>20</v>
      </c>
      <c r="G59" s="6">
        <v>350</v>
      </c>
      <c r="H59" s="6">
        <v>20</v>
      </c>
      <c r="I59" s="6">
        <f t="shared" si="2"/>
        <v>7000</v>
      </c>
      <c r="J59" s="6">
        <f t="shared" si="0"/>
        <v>1050</v>
      </c>
      <c r="K59" s="43">
        <f t="shared" si="1"/>
        <v>8050</v>
      </c>
      <c r="L59" s="44"/>
      <c r="M59" s="46"/>
    </row>
    <row r="60" spans="1:13" x14ac:dyDescent="0.3">
      <c r="A60" s="20">
        <v>46062</v>
      </c>
      <c r="B60" s="5">
        <v>102</v>
      </c>
      <c r="C60" s="5" t="s">
        <v>11</v>
      </c>
      <c r="D60" s="5" t="s">
        <v>122</v>
      </c>
      <c r="E60" s="5" t="s">
        <v>95</v>
      </c>
      <c r="F60" s="6">
        <v>25</v>
      </c>
      <c r="G60" s="6">
        <v>350</v>
      </c>
      <c r="H60" s="6">
        <v>25</v>
      </c>
      <c r="I60" s="6">
        <f t="shared" si="2"/>
        <v>8750</v>
      </c>
      <c r="J60" s="6">
        <f t="shared" si="0"/>
        <v>1312.5</v>
      </c>
      <c r="K60" s="9">
        <f t="shared" si="1"/>
        <v>10062.5</v>
      </c>
      <c r="L60" s="10"/>
    </row>
    <row r="61" spans="1:13" x14ac:dyDescent="0.3">
      <c r="A61" s="78">
        <v>46068</v>
      </c>
      <c r="B61" s="79">
        <v>2</v>
      </c>
      <c r="C61" s="79" t="s">
        <v>146</v>
      </c>
      <c r="D61" s="79" t="s">
        <v>122</v>
      </c>
      <c r="E61" s="79" t="s">
        <v>95</v>
      </c>
      <c r="F61" s="81">
        <v>-25</v>
      </c>
      <c r="G61" s="81">
        <v>350</v>
      </c>
      <c r="H61" s="81">
        <v>-25</v>
      </c>
      <c r="I61" s="81">
        <f t="shared" si="2"/>
        <v>-8750</v>
      </c>
      <c r="J61" s="81">
        <f t="shared" si="0"/>
        <v>-1312.5</v>
      </c>
      <c r="K61" s="83">
        <f t="shared" si="1"/>
        <v>-10062.5</v>
      </c>
      <c r="L61" s="84"/>
    </row>
    <row r="62" spans="1:13" x14ac:dyDescent="0.3">
      <c r="A62" s="20">
        <v>46063</v>
      </c>
      <c r="B62" s="5">
        <v>103</v>
      </c>
      <c r="C62" s="5" t="s">
        <v>11</v>
      </c>
      <c r="D62" s="5" t="s">
        <v>114</v>
      </c>
      <c r="E62" s="5" t="s">
        <v>77</v>
      </c>
      <c r="F62" s="6">
        <v>250</v>
      </c>
      <c r="G62" s="6">
        <v>40.5</v>
      </c>
      <c r="H62" s="6">
        <v>250</v>
      </c>
      <c r="I62" s="6">
        <f t="shared" si="2"/>
        <v>10125</v>
      </c>
      <c r="J62" s="6">
        <f t="shared" si="0"/>
        <v>1518.75</v>
      </c>
      <c r="K62" s="61">
        <f t="shared" si="1"/>
        <v>11643.75</v>
      </c>
      <c r="L62" s="62"/>
    </row>
    <row r="63" spans="1:13" x14ac:dyDescent="0.3">
      <c r="A63" s="20">
        <v>46063</v>
      </c>
      <c r="B63" s="5">
        <v>103</v>
      </c>
      <c r="C63" s="5" t="s">
        <v>11</v>
      </c>
      <c r="D63" s="5" t="s">
        <v>114</v>
      </c>
      <c r="E63" s="5" t="s">
        <v>98</v>
      </c>
      <c r="F63" s="6">
        <v>3</v>
      </c>
      <c r="G63" s="6">
        <v>356</v>
      </c>
      <c r="H63" s="6">
        <v>3</v>
      </c>
      <c r="I63" s="6">
        <f t="shared" si="2"/>
        <v>1068</v>
      </c>
      <c r="J63" s="6">
        <f t="shared" si="0"/>
        <v>160.19999999999999</v>
      </c>
      <c r="K63" s="61">
        <f t="shared" si="1"/>
        <v>1228.2</v>
      </c>
      <c r="L63" s="62"/>
    </row>
    <row r="64" spans="1:13" x14ac:dyDescent="0.3">
      <c r="A64" s="20">
        <v>46063</v>
      </c>
      <c r="B64" s="5">
        <v>104</v>
      </c>
      <c r="C64" s="5" t="s">
        <v>11</v>
      </c>
      <c r="D64" s="5" t="s">
        <v>136</v>
      </c>
      <c r="E64" s="5" t="s">
        <v>137</v>
      </c>
      <c r="F64" s="6">
        <v>30</v>
      </c>
      <c r="G64" s="6">
        <v>94</v>
      </c>
      <c r="H64" s="6">
        <v>30</v>
      </c>
      <c r="I64" s="6">
        <f t="shared" si="2"/>
        <v>2820</v>
      </c>
      <c r="J64" s="6">
        <f t="shared" si="0"/>
        <v>423</v>
      </c>
      <c r="K64" s="43">
        <f t="shared" si="1"/>
        <v>3243</v>
      </c>
      <c r="L64" s="44"/>
      <c r="M64" s="46"/>
    </row>
    <row r="65" spans="1:13" x14ac:dyDescent="0.3">
      <c r="A65" s="20">
        <v>46063</v>
      </c>
      <c r="B65" s="5">
        <v>104</v>
      </c>
      <c r="C65" s="5" t="s">
        <v>11</v>
      </c>
      <c r="D65" s="5" t="s">
        <v>136</v>
      </c>
      <c r="E65" s="5" t="s">
        <v>83</v>
      </c>
      <c r="F65" s="6">
        <v>50</v>
      </c>
      <c r="G65" s="6">
        <v>316</v>
      </c>
      <c r="H65" s="6">
        <v>50</v>
      </c>
      <c r="I65" s="6">
        <f t="shared" si="2"/>
        <v>15800</v>
      </c>
      <c r="J65" s="6">
        <f t="shared" si="0"/>
        <v>2370</v>
      </c>
      <c r="K65" s="43">
        <f t="shared" si="1"/>
        <v>18170</v>
      </c>
      <c r="L65" s="44"/>
      <c r="M65" s="46"/>
    </row>
    <row r="66" spans="1:13" x14ac:dyDescent="0.3">
      <c r="A66" s="20">
        <v>46063</v>
      </c>
      <c r="B66" s="5">
        <v>104</v>
      </c>
      <c r="C66" s="5" t="s">
        <v>11</v>
      </c>
      <c r="D66" s="5" t="s">
        <v>136</v>
      </c>
      <c r="E66" s="5" t="s">
        <v>118</v>
      </c>
      <c r="F66" s="6">
        <v>20</v>
      </c>
      <c r="G66" s="6">
        <v>87</v>
      </c>
      <c r="H66" s="6">
        <v>20</v>
      </c>
      <c r="I66" s="6">
        <f t="shared" si="2"/>
        <v>1740</v>
      </c>
      <c r="J66" s="6">
        <f t="shared" si="0"/>
        <v>261</v>
      </c>
      <c r="K66" s="43">
        <f t="shared" si="1"/>
        <v>2001</v>
      </c>
      <c r="L66" s="44"/>
      <c r="M66" s="42"/>
    </row>
    <row r="67" spans="1:13" x14ac:dyDescent="0.3">
      <c r="A67" s="20">
        <v>46063</v>
      </c>
      <c r="B67" s="5">
        <v>105</v>
      </c>
      <c r="C67" s="5" t="s">
        <v>11</v>
      </c>
      <c r="D67" s="5" t="s">
        <v>138</v>
      </c>
      <c r="E67" s="5" t="s">
        <v>98</v>
      </c>
      <c r="F67" s="6">
        <v>150</v>
      </c>
      <c r="G67" s="6">
        <v>360</v>
      </c>
      <c r="H67" s="6">
        <v>150</v>
      </c>
      <c r="I67" s="6">
        <f t="shared" si="2"/>
        <v>54000</v>
      </c>
      <c r="J67" s="6">
        <f t="shared" si="0"/>
        <v>8100</v>
      </c>
      <c r="K67" s="43">
        <f t="shared" si="1"/>
        <v>62100</v>
      </c>
      <c r="L67" s="44"/>
      <c r="M67" s="46"/>
    </row>
    <row r="68" spans="1:13" x14ac:dyDescent="0.3">
      <c r="A68" s="20">
        <v>46064</v>
      </c>
      <c r="B68" s="5">
        <v>106</v>
      </c>
      <c r="C68" s="5" t="s">
        <v>11</v>
      </c>
      <c r="D68" s="5" t="s">
        <v>139</v>
      </c>
      <c r="E68" s="5" t="s">
        <v>140</v>
      </c>
      <c r="F68" s="6">
        <v>200</v>
      </c>
      <c r="G68" s="6">
        <v>353</v>
      </c>
      <c r="H68" s="6">
        <v>200</v>
      </c>
      <c r="I68" s="6">
        <f t="shared" si="2"/>
        <v>70600</v>
      </c>
      <c r="J68" s="6">
        <f t="shared" si="0"/>
        <v>10590</v>
      </c>
      <c r="K68" s="9">
        <f t="shared" si="1"/>
        <v>81190</v>
      </c>
      <c r="L68" s="10"/>
      <c r="M68" s="19"/>
    </row>
    <row r="69" spans="1:13" x14ac:dyDescent="0.3">
      <c r="A69" s="20">
        <v>46064</v>
      </c>
      <c r="B69" s="5">
        <v>107</v>
      </c>
      <c r="C69" s="5" t="s">
        <v>11</v>
      </c>
      <c r="D69" s="5" t="s">
        <v>13</v>
      </c>
      <c r="E69" s="5" t="s">
        <v>145</v>
      </c>
      <c r="F69" s="6">
        <v>102</v>
      </c>
      <c r="G69" s="6">
        <v>342</v>
      </c>
      <c r="H69" s="6">
        <v>102</v>
      </c>
      <c r="I69" s="6">
        <f t="shared" si="2"/>
        <v>34884</v>
      </c>
      <c r="J69" s="6">
        <f t="shared" si="0"/>
        <v>5232.5999999999995</v>
      </c>
      <c r="K69" s="43">
        <f t="shared" si="1"/>
        <v>40116.6</v>
      </c>
      <c r="L69" s="44"/>
      <c r="M69" s="19"/>
    </row>
    <row r="70" spans="1:13" x14ac:dyDescent="0.3">
      <c r="A70" s="20">
        <v>46064</v>
      </c>
      <c r="B70" s="5">
        <v>108</v>
      </c>
      <c r="C70" s="5" t="s">
        <v>11</v>
      </c>
      <c r="D70" s="5" t="s">
        <v>110</v>
      </c>
      <c r="E70" s="5" t="s">
        <v>98</v>
      </c>
      <c r="F70" s="6">
        <v>10</v>
      </c>
      <c r="G70" s="6">
        <v>360</v>
      </c>
      <c r="H70" s="6">
        <v>10</v>
      </c>
      <c r="I70" s="6">
        <f t="shared" si="2"/>
        <v>3600</v>
      </c>
      <c r="J70" s="6">
        <f t="shared" si="0"/>
        <v>540</v>
      </c>
      <c r="K70" s="58">
        <f t="shared" si="1"/>
        <v>4140</v>
      </c>
      <c r="L70" s="59"/>
      <c r="M70" s="60"/>
    </row>
    <row r="71" spans="1:13" x14ac:dyDescent="0.3">
      <c r="A71" s="20">
        <v>46065</v>
      </c>
      <c r="B71" s="5">
        <v>109</v>
      </c>
      <c r="C71" s="5" t="s">
        <v>11</v>
      </c>
      <c r="D71" s="5" t="s">
        <v>112</v>
      </c>
      <c r="E71" s="14" t="s">
        <v>55</v>
      </c>
      <c r="F71" s="6">
        <v>500</v>
      </c>
      <c r="G71" s="6">
        <v>170</v>
      </c>
      <c r="H71" s="6">
        <v>500</v>
      </c>
      <c r="I71" s="6">
        <f t="shared" si="2"/>
        <v>85000</v>
      </c>
      <c r="J71" s="6">
        <f t="shared" si="0"/>
        <v>12750</v>
      </c>
      <c r="K71" s="43">
        <f t="shared" si="1"/>
        <v>97750</v>
      </c>
      <c r="L71" s="44"/>
      <c r="M71" s="46"/>
    </row>
    <row r="72" spans="1:13" x14ac:dyDescent="0.3">
      <c r="A72" s="20">
        <v>46065</v>
      </c>
      <c r="B72" s="5">
        <v>110</v>
      </c>
      <c r="C72" s="5" t="s">
        <v>11</v>
      </c>
      <c r="D72" s="5" t="s">
        <v>72</v>
      </c>
      <c r="E72" s="5" t="s">
        <v>77</v>
      </c>
      <c r="F72" s="6">
        <v>100</v>
      </c>
      <c r="G72" s="6">
        <v>40</v>
      </c>
      <c r="H72" s="6">
        <v>100</v>
      </c>
      <c r="I72" s="6">
        <f t="shared" si="2"/>
        <v>4000</v>
      </c>
      <c r="J72" s="6">
        <f t="shared" si="0"/>
        <v>600</v>
      </c>
      <c r="K72" s="9">
        <f t="shared" si="1"/>
        <v>4600</v>
      </c>
      <c r="L72" s="10"/>
    </row>
    <row r="73" spans="1:13" x14ac:dyDescent="0.3">
      <c r="A73" s="20">
        <v>46065</v>
      </c>
      <c r="B73" s="5">
        <v>111</v>
      </c>
      <c r="C73" s="5" t="s">
        <v>11</v>
      </c>
      <c r="D73" s="5" t="s">
        <v>54</v>
      </c>
      <c r="E73" s="14" t="s">
        <v>55</v>
      </c>
      <c r="F73" s="6">
        <v>200</v>
      </c>
      <c r="G73" s="6">
        <v>167</v>
      </c>
      <c r="H73" s="6">
        <v>200</v>
      </c>
      <c r="I73" s="6">
        <f t="shared" si="2"/>
        <v>33400</v>
      </c>
      <c r="J73" s="6">
        <f t="shared" si="0"/>
        <v>5010</v>
      </c>
      <c r="K73" s="9">
        <f t="shared" si="1"/>
        <v>38410</v>
      </c>
      <c r="L73" s="10"/>
      <c r="M73" s="19"/>
    </row>
    <row r="74" spans="1:13" x14ac:dyDescent="0.3">
      <c r="A74" s="20">
        <v>46067</v>
      </c>
      <c r="B74" s="5">
        <v>112</v>
      </c>
      <c r="C74" s="5" t="s">
        <v>11</v>
      </c>
      <c r="D74" s="5" t="s">
        <v>72</v>
      </c>
      <c r="E74" s="5" t="s">
        <v>73</v>
      </c>
      <c r="F74" s="6">
        <v>30</v>
      </c>
      <c r="G74" s="6">
        <v>415</v>
      </c>
      <c r="H74" s="6">
        <v>30</v>
      </c>
      <c r="I74" s="6">
        <f t="shared" si="2"/>
        <v>12450</v>
      </c>
      <c r="J74" s="6">
        <f t="shared" si="0"/>
        <v>1867.5</v>
      </c>
      <c r="K74" s="9">
        <f t="shared" si="1"/>
        <v>14317.5</v>
      </c>
      <c r="L74" s="10"/>
    </row>
    <row r="75" spans="1:13" x14ac:dyDescent="0.3">
      <c r="A75" s="20">
        <v>46067</v>
      </c>
      <c r="B75" s="5">
        <v>113</v>
      </c>
      <c r="C75" s="5" t="s">
        <v>11</v>
      </c>
      <c r="D75" s="5" t="s">
        <v>54</v>
      </c>
      <c r="E75" s="5" t="s">
        <v>83</v>
      </c>
      <c r="F75" s="6">
        <v>150</v>
      </c>
      <c r="G75" s="6">
        <v>315</v>
      </c>
      <c r="H75" s="6">
        <v>150</v>
      </c>
      <c r="I75" s="6">
        <f t="shared" si="2"/>
        <v>47250</v>
      </c>
      <c r="J75" s="6">
        <f t="shared" si="0"/>
        <v>7087.5</v>
      </c>
      <c r="K75" s="9">
        <f t="shared" si="1"/>
        <v>54337.5</v>
      </c>
      <c r="L75" s="10"/>
    </row>
    <row r="76" spans="1:13" x14ac:dyDescent="0.3">
      <c r="A76" s="20">
        <v>46068</v>
      </c>
      <c r="B76" s="5">
        <v>114</v>
      </c>
      <c r="C76" s="5" t="s">
        <v>11</v>
      </c>
      <c r="D76" s="5" t="s">
        <v>96</v>
      </c>
      <c r="E76" s="14" t="s">
        <v>55</v>
      </c>
      <c r="F76" s="6">
        <v>50</v>
      </c>
      <c r="G76" s="6">
        <v>167</v>
      </c>
      <c r="H76" s="6">
        <v>50</v>
      </c>
      <c r="I76" s="6">
        <f t="shared" si="2"/>
        <v>8350</v>
      </c>
      <c r="J76" s="6">
        <f t="shared" si="0"/>
        <v>1252.5</v>
      </c>
      <c r="K76" s="43">
        <f t="shared" si="1"/>
        <v>9602.5</v>
      </c>
      <c r="L76" s="44"/>
      <c r="M76" s="46"/>
    </row>
    <row r="77" spans="1:13" x14ac:dyDescent="0.3">
      <c r="A77" s="20">
        <v>46068</v>
      </c>
      <c r="B77" s="5">
        <v>114</v>
      </c>
      <c r="C77" s="5" t="s">
        <v>11</v>
      </c>
      <c r="D77" s="5" t="s">
        <v>96</v>
      </c>
      <c r="E77" s="5" t="s">
        <v>147</v>
      </c>
      <c r="F77" s="6">
        <v>50</v>
      </c>
      <c r="G77" s="6">
        <v>159</v>
      </c>
      <c r="H77" s="6">
        <v>50</v>
      </c>
      <c r="I77" s="6">
        <f t="shared" si="2"/>
        <v>7950</v>
      </c>
      <c r="J77" s="6">
        <f t="shared" si="0"/>
        <v>1192.5</v>
      </c>
      <c r="K77" s="43">
        <f t="shared" si="1"/>
        <v>9142.5</v>
      </c>
      <c r="L77" s="44"/>
      <c r="M77" s="46"/>
    </row>
    <row r="78" spans="1:13" x14ac:dyDescent="0.3">
      <c r="A78" s="20">
        <v>46068</v>
      </c>
      <c r="B78" s="5">
        <v>115</v>
      </c>
      <c r="C78" s="5" t="s">
        <v>11</v>
      </c>
      <c r="D78" s="5" t="s">
        <v>72</v>
      </c>
      <c r="E78" s="5" t="s">
        <v>73</v>
      </c>
      <c r="F78" s="6">
        <v>20</v>
      </c>
      <c r="G78" s="6">
        <v>415</v>
      </c>
      <c r="H78" s="6">
        <v>20</v>
      </c>
      <c r="I78" s="6">
        <f t="shared" si="2"/>
        <v>8300</v>
      </c>
      <c r="J78" s="6">
        <f t="shared" si="0"/>
        <v>1245</v>
      </c>
      <c r="K78" s="43">
        <f t="shared" si="1"/>
        <v>9545</v>
      </c>
      <c r="L78" s="44"/>
      <c r="M78" s="46"/>
    </row>
    <row r="79" spans="1:13" x14ac:dyDescent="0.3">
      <c r="A79" s="20">
        <v>46068</v>
      </c>
      <c r="B79" s="5">
        <v>116</v>
      </c>
      <c r="C79" s="5" t="s">
        <v>11</v>
      </c>
      <c r="D79" s="5" t="s">
        <v>54</v>
      </c>
      <c r="E79" s="5" t="s">
        <v>118</v>
      </c>
      <c r="F79" s="6">
        <v>21</v>
      </c>
      <c r="G79" s="6">
        <v>87</v>
      </c>
      <c r="H79" s="6">
        <v>21</v>
      </c>
      <c r="I79" s="6">
        <f t="shared" si="2"/>
        <v>1827</v>
      </c>
      <c r="J79" s="6">
        <f t="shared" si="0"/>
        <v>274.05</v>
      </c>
      <c r="K79" s="9">
        <f t="shared" si="1"/>
        <v>2101.0500000000002</v>
      </c>
      <c r="L79" s="10"/>
    </row>
    <row r="80" spans="1:13" x14ac:dyDescent="0.3">
      <c r="A80" s="78">
        <v>46069</v>
      </c>
      <c r="B80" s="79">
        <v>3</v>
      </c>
      <c r="C80" s="79" t="s">
        <v>146</v>
      </c>
      <c r="D80" s="79" t="s">
        <v>54</v>
      </c>
      <c r="E80" s="79" t="s">
        <v>118</v>
      </c>
      <c r="F80" s="81">
        <v>-21</v>
      </c>
      <c r="G80" s="81">
        <v>87</v>
      </c>
      <c r="H80" s="81">
        <v>-21</v>
      </c>
      <c r="I80" s="81">
        <f t="shared" si="2"/>
        <v>-1827</v>
      </c>
      <c r="J80" s="81">
        <f t="shared" si="0"/>
        <v>-274.05</v>
      </c>
      <c r="K80" s="83">
        <f t="shared" si="1"/>
        <v>-2101.0500000000002</v>
      </c>
      <c r="L80" s="10"/>
    </row>
    <row r="81" spans="1:13" x14ac:dyDescent="0.3">
      <c r="A81" s="20">
        <v>46068</v>
      </c>
      <c r="B81" s="5">
        <v>117</v>
      </c>
      <c r="C81" s="5" t="s">
        <v>11</v>
      </c>
      <c r="D81" s="14" t="s">
        <v>148</v>
      </c>
      <c r="E81" s="5" t="s">
        <v>83</v>
      </c>
      <c r="F81" s="6">
        <v>400</v>
      </c>
      <c r="G81" s="6">
        <v>315</v>
      </c>
      <c r="H81" s="6">
        <v>400</v>
      </c>
      <c r="I81" s="6">
        <f t="shared" si="2"/>
        <v>126000</v>
      </c>
      <c r="J81" s="6">
        <f t="shared" si="0"/>
        <v>18900</v>
      </c>
      <c r="K81" s="43">
        <f t="shared" si="1"/>
        <v>144900</v>
      </c>
      <c r="L81" s="44"/>
      <c r="M81" s="42"/>
    </row>
    <row r="82" spans="1:13" x14ac:dyDescent="0.3">
      <c r="A82" s="20">
        <v>46069</v>
      </c>
      <c r="B82" s="5">
        <v>118</v>
      </c>
      <c r="C82" s="5" t="s">
        <v>11</v>
      </c>
      <c r="D82" s="5" t="s">
        <v>150</v>
      </c>
      <c r="E82" s="5" t="s">
        <v>83</v>
      </c>
      <c r="F82" s="6">
        <v>500</v>
      </c>
      <c r="G82" s="6">
        <v>313</v>
      </c>
      <c r="H82" s="6">
        <v>500</v>
      </c>
      <c r="I82" s="6">
        <f t="shared" si="2"/>
        <v>156500</v>
      </c>
      <c r="J82" s="6">
        <f t="shared" si="0"/>
        <v>23475</v>
      </c>
      <c r="K82" s="43">
        <f t="shared" si="1"/>
        <v>179975</v>
      </c>
      <c r="L82" s="44"/>
      <c r="M82" s="42"/>
    </row>
    <row r="83" spans="1:13" x14ac:dyDescent="0.3">
      <c r="A83" s="20">
        <v>46069</v>
      </c>
      <c r="B83" s="5">
        <v>118</v>
      </c>
      <c r="C83" s="5" t="s">
        <v>11</v>
      </c>
      <c r="D83" s="5" t="s">
        <v>150</v>
      </c>
      <c r="E83" s="5" t="s">
        <v>98</v>
      </c>
      <c r="F83" s="6">
        <v>500</v>
      </c>
      <c r="G83" s="6">
        <v>358</v>
      </c>
      <c r="H83" s="6">
        <v>500</v>
      </c>
      <c r="I83" s="6">
        <f t="shared" si="2"/>
        <v>179000</v>
      </c>
      <c r="J83" s="6">
        <f t="shared" si="0"/>
        <v>26850</v>
      </c>
      <c r="K83" s="43">
        <f t="shared" si="1"/>
        <v>205850</v>
      </c>
      <c r="L83" s="44"/>
      <c r="M83" s="42"/>
    </row>
    <row r="84" spans="1:13" x14ac:dyDescent="0.3">
      <c r="A84" s="20">
        <v>46069</v>
      </c>
      <c r="B84" s="5">
        <v>118</v>
      </c>
      <c r="C84" s="5" t="s">
        <v>11</v>
      </c>
      <c r="D84" s="5" t="s">
        <v>150</v>
      </c>
      <c r="E84" s="5" t="s">
        <v>48</v>
      </c>
      <c r="F84" s="6">
        <v>30</v>
      </c>
      <c r="G84" s="6">
        <v>774</v>
      </c>
      <c r="H84" s="6">
        <v>30</v>
      </c>
      <c r="I84" s="6">
        <f t="shared" si="2"/>
        <v>23220</v>
      </c>
      <c r="J84" s="6">
        <f t="shared" si="0"/>
        <v>3483</v>
      </c>
      <c r="K84" s="43">
        <f t="shared" si="1"/>
        <v>26703</v>
      </c>
      <c r="L84" s="44"/>
      <c r="M84" s="42"/>
    </row>
    <row r="85" spans="1:13" x14ac:dyDescent="0.3">
      <c r="A85" s="20">
        <v>46069</v>
      </c>
      <c r="B85" s="5">
        <v>119</v>
      </c>
      <c r="C85" s="5" t="s">
        <v>11</v>
      </c>
      <c r="D85" s="5" t="s">
        <v>13</v>
      </c>
      <c r="E85" s="5" t="s">
        <v>95</v>
      </c>
      <c r="F85" s="6">
        <v>131</v>
      </c>
      <c r="G85" s="6">
        <v>351</v>
      </c>
      <c r="H85" s="6">
        <v>131</v>
      </c>
      <c r="I85" s="6">
        <f t="shared" si="2"/>
        <v>45981</v>
      </c>
      <c r="J85" s="6">
        <f t="shared" si="0"/>
        <v>6897.15</v>
      </c>
      <c r="K85" s="9">
        <f t="shared" si="1"/>
        <v>52878.15</v>
      </c>
      <c r="L85" s="10"/>
      <c r="M85" s="19"/>
    </row>
    <row r="86" spans="1:13" x14ac:dyDescent="0.3">
      <c r="A86" s="20">
        <v>46069</v>
      </c>
      <c r="B86" s="5">
        <v>120</v>
      </c>
      <c r="C86" s="5" t="s">
        <v>11</v>
      </c>
      <c r="D86" s="5" t="s">
        <v>151</v>
      </c>
      <c r="E86" s="5" t="s">
        <v>24</v>
      </c>
      <c r="F86" s="6">
        <v>200</v>
      </c>
      <c r="G86" s="6">
        <v>167</v>
      </c>
      <c r="H86" s="6">
        <v>200</v>
      </c>
      <c r="I86" s="6">
        <f t="shared" si="2"/>
        <v>33400</v>
      </c>
      <c r="J86" s="6">
        <f t="shared" si="0"/>
        <v>5010</v>
      </c>
      <c r="K86" s="43">
        <f t="shared" si="1"/>
        <v>38410</v>
      </c>
      <c r="L86" s="44"/>
      <c r="M86" s="42"/>
    </row>
    <row r="87" spans="1:13" x14ac:dyDescent="0.3">
      <c r="A87" s="20">
        <v>46069</v>
      </c>
      <c r="B87" s="5">
        <v>121</v>
      </c>
      <c r="C87" s="5" t="s">
        <v>11</v>
      </c>
      <c r="D87" s="5" t="s">
        <v>100</v>
      </c>
      <c r="E87" s="5" t="s">
        <v>126</v>
      </c>
      <c r="F87" s="6">
        <v>751</v>
      </c>
      <c r="G87" s="6">
        <v>310</v>
      </c>
      <c r="H87" s="6">
        <v>751</v>
      </c>
      <c r="I87" s="6">
        <f t="shared" si="2"/>
        <v>232810</v>
      </c>
      <c r="J87" s="6">
        <f t="shared" si="0"/>
        <v>34921.5</v>
      </c>
      <c r="K87" s="9">
        <f t="shared" si="1"/>
        <v>267731.5</v>
      </c>
      <c r="L87" s="10"/>
      <c r="M87" s="19"/>
    </row>
    <row r="88" spans="1:13" x14ac:dyDescent="0.3">
      <c r="A88" s="20">
        <v>46069</v>
      </c>
      <c r="B88" s="5">
        <v>121</v>
      </c>
      <c r="C88" s="5" t="s">
        <v>11</v>
      </c>
      <c r="D88" s="5" t="s">
        <v>100</v>
      </c>
      <c r="E88" s="5" t="s">
        <v>153</v>
      </c>
      <c r="F88" s="6">
        <v>369</v>
      </c>
      <c r="G88" s="6">
        <v>352</v>
      </c>
      <c r="H88" s="6">
        <v>369</v>
      </c>
      <c r="I88" s="6">
        <f t="shared" si="2"/>
        <v>129888</v>
      </c>
      <c r="J88" s="6">
        <f t="shared" si="0"/>
        <v>19483.2</v>
      </c>
      <c r="K88" s="9">
        <f t="shared" si="1"/>
        <v>149371.20000000001</v>
      </c>
      <c r="L88" s="10"/>
    </row>
    <row r="89" spans="1:13" x14ac:dyDescent="0.3">
      <c r="A89" s="20">
        <v>46069</v>
      </c>
      <c r="B89" s="5">
        <v>122</v>
      </c>
      <c r="C89" s="5" t="s">
        <v>11</v>
      </c>
      <c r="D89" s="5" t="s">
        <v>54</v>
      </c>
      <c r="E89" s="5" t="s">
        <v>109</v>
      </c>
      <c r="F89" s="6">
        <v>90</v>
      </c>
      <c r="G89" s="6">
        <v>352</v>
      </c>
      <c r="H89" s="6">
        <v>90</v>
      </c>
      <c r="I89" s="6">
        <f t="shared" si="2"/>
        <v>31680</v>
      </c>
      <c r="J89" s="6">
        <f t="shared" si="0"/>
        <v>4752</v>
      </c>
      <c r="K89" s="9">
        <f t="shared" si="1"/>
        <v>36432</v>
      </c>
      <c r="L89" s="10"/>
      <c r="M89" s="19"/>
    </row>
    <row r="90" spans="1:13" x14ac:dyDescent="0.3">
      <c r="A90" s="20">
        <v>46069</v>
      </c>
      <c r="B90" s="5">
        <v>122</v>
      </c>
      <c r="C90" s="5" t="s">
        <v>11</v>
      </c>
      <c r="D90" s="5" t="s">
        <v>54</v>
      </c>
      <c r="E90" s="5" t="s">
        <v>105</v>
      </c>
      <c r="F90" s="6">
        <v>24</v>
      </c>
      <c r="G90" s="6">
        <v>352</v>
      </c>
      <c r="H90" s="6">
        <v>24</v>
      </c>
      <c r="I90" s="6">
        <f t="shared" si="2"/>
        <v>8448</v>
      </c>
      <c r="J90" s="6">
        <f t="shared" si="0"/>
        <v>1267.2</v>
      </c>
      <c r="K90" s="9">
        <f t="shared" si="1"/>
        <v>9715.2000000000007</v>
      </c>
      <c r="L90" s="10"/>
      <c r="M90" s="19"/>
    </row>
    <row r="91" spans="1:13" x14ac:dyDescent="0.3">
      <c r="A91" s="20">
        <v>46069</v>
      </c>
      <c r="B91" s="5">
        <v>122</v>
      </c>
      <c r="C91" s="5" t="s">
        <v>11</v>
      </c>
      <c r="D91" s="5" t="s">
        <v>54</v>
      </c>
      <c r="E91" s="5" t="s">
        <v>154</v>
      </c>
      <c r="F91" s="6">
        <v>186</v>
      </c>
      <c r="G91" s="6">
        <v>352</v>
      </c>
      <c r="H91" s="6">
        <v>186</v>
      </c>
      <c r="I91" s="6">
        <f t="shared" si="2"/>
        <v>65472</v>
      </c>
      <c r="J91" s="6">
        <f t="shared" si="0"/>
        <v>9820.7999999999993</v>
      </c>
      <c r="K91" s="9">
        <f t="shared" si="1"/>
        <v>75292.800000000003</v>
      </c>
      <c r="L91" s="10"/>
      <c r="M91" s="19"/>
    </row>
    <row r="92" spans="1:13" x14ac:dyDescent="0.3">
      <c r="A92" s="20">
        <v>46069</v>
      </c>
      <c r="B92" s="5">
        <v>123</v>
      </c>
      <c r="C92" s="5" t="s">
        <v>11</v>
      </c>
      <c r="D92" s="5" t="s">
        <v>72</v>
      </c>
      <c r="E92" s="5" t="s">
        <v>77</v>
      </c>
      <c r="F92" s="6">
        <v>100</v>
      </c>
      <c r="G92" s="6">
        <v>40</v>
      </c>
      <c r="H92" s="6">
        <v>100</v>
      </c>
      <c r="I92" s="6">
        <f t="shared" si="2"/>
        <v>4000</v>
      </c>
      <c r="J92" s="6">
        <f t="shared" si="0"/>
        <v>600</v>
      </c>
      <c r="K92" s="9">
        <f t="shared" si="1"/>
        <v>4600</v>
      </c>
      <c r="L92" s="10"/>
      <c r="M92" s="19"/>
    </row>
    <row r="93" spans="1:13" x14ac:dyDescent="0.3">
      <c r="A93" s="20">
        <v>46070</v>
      </c>
      <c r="B93" s="5">
        <v>124</v>
      </c>
      <c r="C93" s="5" t="s">
        <v>11</v>
      </c>
      <c r="D93" s="5" t="s">
        <v>110</v>
      </c>
      <c r="E93" s="5" t="s">
        <v>98</v>
      </c>
      <c r="F93" s="6">
        <v>10</v>
      </c>
      <c r="G93" s="6">
        <v>360</v>
      </c>
      <c r="H93" s="6">
        <v>10</v>
      </c>
      <c r="I93" s="6">
        <f t="shared" si="2"/>
        <v>3600</v>
      </c>
      <c r="J93" s="6">
        <f t="shared" si="0"/>
        <v>540</v>
      </c>
      <c r="K93" s="43">
        <f t="shared" si="1"/>
        <v>4140</v>
      </c>
      <c r="L93" s="44"/>
      <c r="M93" s="46"/>
    </row>
    <row r="94" spans="1:13" x14ac:dyDescent="0.3">
      <c r="A94" s="20">
        <v>46071</v>
      </c>
      <c r="B94" s="5">
        <v>125</v>
      </c>
      <c r="C94" s="5" t="s">
        <v>11</v>
      </c>
      <c r="D94" s="5" t="s">
        <v>129</v>
      </c>
      <c r="E94" s="5" t="s">
        <v>83</v>
      </c>
      <c r="F94" s="6">
        <v>30</v>
      </c>
      <c r="G94" s="6">
        <v>319</v>
      </c>
      <c r="H94" s="6">
        <v>30</v>
      </c>
      <c r="I94" s="6">
        <f t="shared" si="2"/>
        <v>9570</v>
      </c>
      <c r="J94" s="6">
        <f t="shared" si="0"/>
        <v>1435.5</v>
      </c>
      <c r="K94" s="43">
        <f t="shared" si="1"/>
        <v>11005.5</v>
      </c>
      <c r="L94" s="44"/>
      <c r="M94" s="42"/>
    </row>
    <row r="95" spans="1:13" x14ac:dyDescent="0.3">
      <c r="A95" s="20">
        <v>46071</v>
      </c>
      <c r="B95" s="5">
        <v>126</v>
      </c>
      <c r="C95" s="5" t="s">
        <v>11</v>
      </c>
      <c r="D95" s="5" t="s">
        <v>96</v>
      </c>
      <c r="E95" s="5" t="s">
        <v>55</v>
      </c>
      <c r="F95" s="6">
        <v>50</v>
      </c>
      <c r="G95" s="6">
        <v>167</v>
      </c>
      <c r="H95" s="6">
        <v>50</v>
      </c>
      <c r="I95" s="6">
        <f t="shared" si="2"/>
        <v>8350</v>
      </c>
      <c r="J95" s="6">
        <f t="shared" si="0"/>
        <v>1252.5</v>
      </c>
      <c r="K95" s="43">
        <f t="shared" si="1"/>
        <v>9602.5</v>
      </c>
      <c r="L95" s="44"/>
      <c r="M95" s="42"/>
    </row>
    <row r="96" spans="1:13" x14ac:dyDescent="0.3">
      <c r="A96" s="20">
        <v>46071</v>
      </c>
      <c r="B96" s="5">
        <v>126</v>
      </c>
      <c r="C96" s="5" t="s">
        <v>11</v>
      </c>
      <c r="D96" s="5" t="s">
        <v>96</v>
      </c>
      <c r="E96" s="5" t="s">
        <v>147</v>
      </c>
      <c r="F96" s="6">
        <v>50</v>
      </c>
      <c r="G96" s="6">
        <v>159</v>
      </c>
      <c r="H96" s="6">
        <v>50</v>
      </c>
      <c r="I96" s="6">
        <f t="shared" si="2"/>
        <v>7950</v>
      </c>
      <c r="J96" s="6">
        <f t="shared" si="0"/>
        <v>1192.5</v>
      </c>
      <c r="K96" s="43">
        <f t="shared" si="1"/>
        <v>9142.5</v>
      </c>
      <c r="L96" s="44"/>
      <c r="M96" s="42"/>
    </row>
    <row r="97" spans="1:13" x14ac:dyDescent="0.3">
      <c r="A97" s="20">
        <v>46071</v>
      </c>
      <c r="B97" s="5">
        <v>127</v>
      </c>
      <c r="C97" s="5" t="s">
        <v>11</v>
      </c>
      <c r="D97" s="5" t="s">
        <v>68</v>
      </c>
      <c r="E97" s="5" t="s">
        <v>155</v>
      </c>
      <c r="F97" s="6">
        <v>24019.09</v>
      </c>
      <c r="G97" s="6">
        <v>26.25</v>
      </c>
      <c r="H97" s="6">
        <v>24019.09</v>
      </c>
      <c r="I97" s="6">
        <f t="shared" si="2"/>
        <v>630501.11250000005</v>
      </c>
      <c r="J97" s="6">
        <f t="shared" si="0"/>
        <v>94575.16687500001</v>
      </c>
      <c r="K97" s="9">
        <f t="shared" si="1"/>
        <v>725076.27937500004</v>
      </c>
      <c r="L97" s="10"/>
    </row>
    <row r="98" spans="1:13" x14ac:dyDescent="0.3">
      <c r="A98" s="20">
        <v>46072</v>
      </c>
      <c r="B98" s="5">
        <v>128</v>
      </c>
      <c r="C98" s="5" t="s">
        <v>11</v>
      </c>
      <c r="D98" s="5" t="s">
        <v>134</v>
      </c>
      <c r="E98" s="5" t="s">
        <v>24</v>
      </c>
      <c r="F98" s="6">
        <v>400</v>
      </c>
      <c r="G98" s="6">
        <v>166</v>
      </c>
      <c r="H98" s="6">
        <v>400</v>
      </c>
      <c r="I98" s="6">
        <f t="shared" si="2"/>
        <v>66400</v>
      </c>
      <c r="J98" s="6">
        <f t="shared" si="0"/>
        <v>9960</v>
      </c>
      <c r="K98" s="43">
        <f t="shared" si="1"/>
        <v>76360</v>
      </c>
      <c r="L98" s="44"/>
      <c r="M98" s="46"/>
    </row>
    <row r="99" spans="1:13" x14ac:dyDescent="0.3">
      <c r="A99" s="20">
        <v>46074</v>
      </c>
      <c r="B99" s="5">
        <v>129</v>
      </c>
      <c r="C99" s="5" t="s">
        <v>11</v>
      </c>
      <c r="D99" s="5" t="s">
        <v>75</v>
      </c>
      <c r="E99" s="5" t="s">
        <v>91</v>
      </c>
      <c r="F99" s="6">
        <v>10</v>
      </c>
      <c r="G99" s="6">
        <v>18.8</v>
      </c>
      <c r="H99" s="6">
        <v>144.94</v>
      </c>
      <c r="I99" s="6">
        <f t="shared" si="2"/>
        <v>2724.8719999999998</v>
      </c>
      <c r="J99" s="6">
        <f t="shared" si="0"/>
        <v>408.73079999999999</v>
      </c>
      <c r="K99" s="9">
        <f t="shared" si="1"/>
        <v>3133.6027999999997</v>
      </c>
      <c r="L99" s="10"/>
    </row>
    <row r="100" spans="1:13" x14ac:dyDescent="0.3">
      <c r="A100" s="20">
        <v>46074</v>
      </c>
      <c r="B100" s="5">
        <v>130</v>
      </c>
      <c r="C100" s="5" t="s">
        <v>11</v>
      </c>
      <c r="D100" s="5" t="s">
        <v>75</v>
      </c>
      <c r="E100" s="5" t="s">
        <v>61</v>
      </c>
      <c r="F100" s="6">
        <v>31</v>
      </c>
      <c r="G100" s="6">
        <v>64</v>
      </c>
      <c r="H100" s="6">
        <v>31</v>
      </c>
      <c r="I100" s="6">
        <f t="shared" si="2"/>
        <v>1984</v>
      </c>
      <c r="J100" s="6">
        <f t="shared" si="0"/>
        <v>297.59999999999997</v>
      </c>
      <c r="K100" s="9">
        <f t="shared" si="1"/>
        <v>2281.6</v>
      </c>
      <c r="L100" s="10"/>
    </row>
    <row r="101" spans="1:13" x14ac:dyDescent="0.3">
      <c r="A101" s="20">
        <v>46076</v>
      </c>
      <c r="B101" s="5">
        <v>131</v>
      </c>
      <c r="C101" s="5" t="s">
        <v>11</v>
      </c>
      <c r="D101" s="5" t="s">
        <v>158</v>
      </c>
      <c r="E101" s="5" t="s">
        <v>25</v>
      </c>
      <c r="F101" s="6">
        <v>2</v>
      </c>
      <c r="G101" s="6">
        <v>20.25</v>
      </c>
      <c r="H101" s="6">
        <v>41.28</v>
      </c>
      <c r="I101" s="6">
        <f t="shared" si="2"/>
        <v>835.92000000000007</v>
      </c>
      <c r="J101" s="6">
        <f t="shared" si="0"/>
        <v>125.38800000000001</v>
      </c>
      <c r="K101" s="9">
        <f t="shared" si="1"/>
        <v>961.30800000000011</v>
      </c>
      <c r="L101" s="10"/>
    </row>
    <row r="102" spans="1:13" x14ac:dyDescent="0.3">
      <c r="A102" s="78">
        <v>46078</v>
      </c>
      <c r="B102" s="79">
        <v>5</v>
      </c>
      <c r="C102" s="79" t="s">
        <v>146</v>
      </c>
      <c r="D102" s="79" t="s">
        <v>158</v>
      </c>
      <c r="E102" s="79" t="s">
        <v>25</v>
      </c>
      <c r="F102" s="81">
        <v>-2</v>
      </c>
      <c r="G102" s="81">
        <v>20.25</v>
      </c>
      <c r="H102" s="81">
        <v>-41.28</v>
      </c>
      <c r="I102" s="81">
        <f t="shared" si="2"/>
        <v>-835.92000000000007</v>
      </c>
      <c r="J102" s="81">
        <f t="shared" si="0"/>
        <v>-125.38800000000001</v>
      </c>
      <c r="K102" s="83">
        <f t="shared" si="1"/>
        <v>-961.30800000000011</v>
      </c>
      <c r="L102" s="84"/>
    </row>
    <row r="103" spans="1:13" x14ac:dyDescent="0.3">
      <c r="A103" s="20">
        <v>46076</v>
      </c>
      <c r="B103" s="5">
        <v>132</v>
      </c>
      <c r="C103" s="5" t="s">
        <v>11</v>
      </c>
      <c r="D103" s="5" t="s">
        <v>159</v>
      </c>
      <c r="E103" s="5" t="s">
        <v>160</v>
      </c>
      <c r="F103" s="6">
        <v>32</v>
      </c>
      <c r="G103" s="6">
        <v>810</v>
      </c>
      <c r="H103" s="6">
        <v>32</v>
      </c>
      <c r="I103" s="6">
        <f t="shared" si="2"/>
        <v>25920</v>
      </c>
      <c r="J103" s="6">
        <f t="shared" si="0"/>
        <v>3888</v>
      </c>
      <c r="K103" s="9">
        <f t="shared" si="1"/>
        <v>29808</v>
      </c>
      <c r="L103" s="10"/>
      <c r="M103" s="19"/>
    </row>
    <row r="104" spans="1:13" x14ac:dyDescent="0.3">
      <c r="A104" s="20">
        <v>46076</v>
      </c>
      <c r="B104" s="5">
        <v>132</v>
      </c>
      <c r="C104" s="5" t="s">
        <v>11</v>
      </c>
      <c r="D104" s="5" t="s">
        <v>159</v>
      </c>
      <c r="E104" s="5" t="s">
        <v>190</v>
      </c>
      <c r="F104" s="6">
        <v>20</v>
      </c>
      <c r="G104" s="6">
        <v>639</v>
      </c>
      <c r="H104" s="6">
        <v>20</v>
      </c>
      <c r="I104" s="6">
        <f t="shared" si="2"/>
        <v>12780</v>
      </c>
      <c r="J104" s="6">
        <f t="shared" si="0"/>
        <v>1917</v>
      </c>
      <c r="K104" s="9">
        <f t="shared" si="1"/>
        <v>14697</v>
      </c>
      <c r="L104" s="10"/>
    </row>
    <row r="105" spans="1:13" x14ac:dyDescent="0.3">
      <c r="A105" s="20">
        <v>46076</v>
      </c>
      <c r="B105" s="5">
        <v>132</v>
      </c>
      <c r="C105" s="5" t="s">
        <v>11</v>
      </c>
      <c r="D105" s="5" t="s">
        <v>159</v>
      </c>
      <c r="E105" s="5" t="s">
        <v>167</v>
      </c>
      <c r="F105" s="6">
        <v>10</v>
      </c>
      <c r="G105" s="6">
        <v>355</v>
      </c>
      <c r="H105" s="6">
        <v>10</v>
      </c>
      <c r="I105" s="6">
        <f t="shared" si="2"/>
        <v>3550</v>
      </c>
      <c r="J105" s="6">
        <f t="shared" si="0"/>
        <v>532.5</v>
      </c>
      <c r="K105" s="9">
        <f t="shared" si="1"/>
        <v>4082.5</v>
      </c>
      <c r="L105" s="10"/>
    </row>
    <row r="106" spans="1:13" x14ac:dyDescent="0.3">
      <c r="A106" s="20">
        <v>46076</v>
      </c>
      <c r="B106" s="5">
        <v>132</v>
      </c>
      <c r="C106" s="5" t="s">
        <v>11</v>
      </c>
      <c r="D106" s="5" t="s">
        <v>159</v>
      </c>
      <c r="E106" s="5" t="s">
        <v>77</v>
      </c>
      <c r="F106" s="6">
        <v>50</v>
      </c>
      <c r="G106" s="6">
        <v>41</v>
      </c>
      <c r="H106" s="6">
        <v>50</v>
      </c>
      <c r="I106" s="6">
        <f t="shared" si="2"/>
        <v>2050</v>
      </c>
      <c r="J106" s="6">
        <f t="shared" si="0"/>
        <v>307.5</v>
      </c>
      <c r="K106" s="9">
        <f t="shared" si="1"/>
        <v>2357.5</v>
      </c>
      <c r="L106" s="10"/>
      <c r="M106" s="19"/>
    </row>
    <row r="107" spans="1:13" x14ac:dyDescent="0.3">
      <c r="A107" s="20">
        <v>46076</v>
      </c>
      <c r="B107" s="5">
        <v>132</v>
      </c>
      <c r="C107" s="5" t="s">
        <v>11</v>
      </c>
      <c r="D107" s="5" t="s">
        <v>159</v>
      </c>
      <c r="E107" s="5" t="s">
        <v>137</v>
      </c>
      <c r="F107" s="6">
        <v>15</v>
      </c>
      <c r="G107" s="6">
        <v>94</v>
      </c>
      <c r="H107" s="6">
        <v>15</v>
      </c>
      <c r="I107" s="6">
        <f t="shared" si="2"/>
        <v>1410</v>
      </c>
      <c r="J107" s="6">
        <f t="shared" si="0"/>
        <v>211.5</v>
      </c>
      <c r="K107" s="9">
        <f t="shared" si="1"/>
        <v>1621.5</v>
      </c>
      <c r="L107" s="10"/>
    </row>
    <row r="108" spans="1:13" x14ac:dyDescent="0.3">
      <c r="A108" s="20">
        <v>46076</v>
      </c>
      <c r="B108" s="5">
        <v>133</v>
      </c>
      <c r="C108" s="5" t="s">
        <v>11</v>
      </c>
      <c r="D108" s="5" t="s">
        <v>161</v>
      </c>
      <c r="E108" s="5" t="s">
        <v>55</v>
      </c>
      <c r="F108" s="6">
        <v>100</v>
      </c>
      <c r="G108" s="6">
        <v>167</v>
      </c>
      <c r="H108" s="6">
        <v>100</v>
      </c>
      <c r="I108" s="6">
        <f t="shared" si="2"/>
        <v>16700</v>
      </c>
      <c r="J108" s="6">
        <f t="shared" si="0"/>
        <v>2505</v>
      </c>
      <c r="K108" s="43">
        <f t="shared" si="1"/>
        <v>19205</v>
      </c>
      <c r="L108" s="44"/>
      <c r="M108" s="46"/>
    </row>
    <row r="109" spans="1:13" x14ac:dyDescent="0.3">
      <c r="A109" s="20">
        <v>46076</v>
      </c>
      <c r="B109" s="5">
        <v>134</v>
      </c>
      <c r="C109" s="5" t="s">
        <v>11</v>
      </c>
      <c r="D109" s="14" t="s">
        <v>96</v>
      </c>
      <c r="E109" s="5" t="s">
        <v>55</v>
      </c>
      <c r="F109" s="6">
        <v>100</v>
      </c>
      <c r="G109" s="6">
        <v>167</v>
      </c>
      <c r="H109" s="6">
        <v>100</v>
      </c>
      <c r="I109" s="6">
        <f t="shared" si="2"/>
        <v>16700</v>
      </c>
      <c r="J109" s="6">
        <f t="shared" si="0"/>
        <v>2505</v>
      </c>
      <c r="K109" s="43">
        <f t="shared" si="1"/>
        <v>19205</v>
      </c>
      <c r="L109" s="44"/>
      <c r="M109" s="42"/>
    </row>
    <row r="110" spans="1:13" x14ac:dyDescent="0.3">
      <c r="A110" s="20">
        <v>46076</v>
      </c>
      <c r="B110" s="5">
        <v>134</v>
      </c>
      <c r="C110" s="5" t="s">
        <v>11</v>
      </c>
      <c r="D110" s="5" t="s">
        <v>96</v>
      </c>
      <c r="E110" s="5" t="s">
        <v>147</v>
      </c>
      <c r="F110" s="6">
        <v>100</v>
      </c>
      <c r="G110" s="6">
        <v>159</v>
      </c>
      <c r="H110" s="6">
        <v>100</v>
      </c>
      <c r="I110" s="6">
        <f t="shared" si="2"/>
        <v>15900</v>
      </c>
      <c r="J110" s="6">
        <f t="shared" si="0"/>
        <v>2385</v>
      </c>
      <c r="K110" s="43">
        <f t="shared" si="1"/>
        <v>18285</v>
      </c>
      <c r="L110" s="44"/>
      <c r="M110" s="42"/>
    </row>
    <row r="111" spans="1:13" x14ac:dyDescent="0.3">
      <c r="A111" s="20">
        <v>46076</v>
      </c>
      <c r="B111" s="5">
        <v>135</v>
      </c>
      <c r="C111" s="5" t="s">
        <v>11</v>
      </c>
      <c r="D111" s="5" t="s">
        <v>13</v>
      </c>
      <c r="E111" s="5" t="s">
        <v>24</v>
      </c>
      <c r="F111" s="6">
        <v>200</v>
      </c>
      <c r="G111" s="6">
        <v>166</v>
      </c>
      <c r="H111" s="6">
        <v>200</v>
      </c>
      <c r="I111" s="6">
        <f t="shared" si="2"/>
        <v>33200</v>
      </c>
      <c r="J111" s="6">
        <f t="shared" si="0"/>
        <v>4980</v>
      </c>
      <c r="K111" s="87">
        <f t="shared" si="1"/>
        <v>38180</v>
      </c>
      <c r="L111" s="88"/>
    </row>
    <row r="112" spans="1:13" x14ac:dyDescent="0.3">
      <c r="A112" s="20">
        <v>46076</v>
      </c>
      <c r="B112" s="5">
        <v>136</v>
      </c>
      <c r="C112" s="5" t="s">
        <v>171</v>
      </c>
      <c r="D112" s="5" t="s">
        <v>162</v>
      </c>
      <c r="E112" s="5" t="s">
        <v>24</v>
      </c>
      <c r="F112" s="6">
        <v>80</v>
      </c>
      <c r="G112" s="6">
        <v>170</v>
      </c>
      <c r="H112" s="6">
        <v>80</v>
      </c>
      <c r="I112" s="6">
        <f t="shared" si="2"/>
        <v>13600</v>
      </c>
      <c r="J112" s="6">
        <f t="shared" si="0"/>
        <v>2040</v>
      </c>
      <c r="K112" s="9">
        <f t="shared" si="1"/>
        <v>15640</v>
      </c>
      <c r="L112" s="10"/>
    </row>
    <row r="113" spans="1:13" x14ac:dyDescent="0.3">
      <c r="A113" s="20">
        <v>46077</v>
      </c>
      <c r="B113" s="5">
        <v>137</v>
      </c>
      <c r="C113" s="5" t="s">
        <v>11</v>
      </c>
      <c r="D113" s="5" t="s">
        <v>116</v>
      </c>
      <c r="E113" s="5" t="s">
        <v>169</v>
      </c>
      <c r="F113" s="6">
        <v>75</v>
      </c>
      <c r="G113" s="6">
        <v>323</v>
      </c>
      <c r="H113" s="6">
        <v>75</v>
      </c>
      <c r="I113" s="6">
        <f t="shared" si="2"/>
        <v>24225</v>
      </c>
      <c r="J113" s="6">
        <f t="shared" si="0"/>
        <v>3633.75</v>
      </c>
      <c r="K113" s="43">
        <f t="shared" si="1"/>
        <v>27858.75</v>
      </c>
      <c r="L113" s="44"/>
      <c r="M113" s="46"/>
    </row>
    <row r="114" spans="1:13" x14ac:dyDescent="0.3">
      <c r="A114" s="20">
        <v>46077</v>
      </c>
      <c r="B114" s="5">
        <v>138</v>
      </c>
      <c r="C114" s="5" t="s">
        <v>11</v>
      </c>
      <c r="D114" s="5" t="s">
        <v>72</v>
      </c>
      <c r="E114" s="5" t="s">
        <v>77</v>
      </c>
      <c r="F114" s="6">
        <v>100</v>
      </c>
      <c r="G114" s="6">
        <v>40</v>
      </c>
      <c r="H114" s="6">
        <v>100</v>
      </c>
      <c r="I114" s="6">
        <f t="shared" si="2"/>
        <v>4000</v>
      </c>
      <c r="J114" s="6">
        <f t="shared" si="0"/>
        <v>600</v>
      </c>
      <c r="K114" s="51">
        <f t="shared" si="1"/>
        <v>4600</v>
      </c>
      <c r="L114" s="52"/>
      <c r="M114" s="57"/>
    </row>
    <row r="115" spans="1:13" x14ac:dyDescent="0.3">
      <c r="A115" s="20">
        <v>46078</v>
      </c>
      <c r="B115" s="5">
        <v>139</v>
      </c>
      <c r="C115" s="5" t="s">
        <v>11</v>
      </c>
      <c r="D115" s="5" t="s">
        <v>170</v>
      </c>
      <c r="E115" s="5" t="s">
        <v>137</v>
      </c>
      <c r="F115" s="6">
        <v>20</v>
      </c>
      <c r="G115" s="6">
        <v>95</v>
      </c>
      <c r="H115" s="6">
        <v>20</v>
      </c>
      <c r="I115" s="6">
        <f t="shared" si="2"/>
        <v>1900</v>
      </c>
      <c r="J115" s="6">
        <f t="shared" si="0"/>
        <v>285</v>
      </c>
      <c r="K115" s="58">
        <f t="shared" si="1"/>
        <v>2185</v>
      </c>
      <c r="L115" s="59"/>
      <c r="M115" s="86"/>
    </row>
    <row r="116" spans="1:13" x14ac:dyDescent="0.3">
      <c r="A116" s="20">
        <v>46078</v>
      </c>
      <c r="B116" s="5">
        <v>140</v>
      </c>
      <c r="C116" s="5" t="s">
        <v>11</v>
      </c>
      <c r="D116" s="5" t="s">
        <v>170</v>
      </c>
      <c r="E116" s="5" t="s">
        <v>137</v>
      </c>
      <c r="F116" s="6">
        <v>20</v>
      </c>
      <c r="G116" s="6">
        <v>95</v>
      </c>
      <c r="H116" s="6">
        <v>20</v>
      </c>
      <c r="I116" s="6">
        <f t="shared" si="2"/>
        <v>1900</v>
      </c>
      <c r="J116" s="6">
        <f t="shared" si="0"/>
        <v>285</v>
      </c>
      <c r="K116" s="58">
        <f t="shared" si="1"/>
        <v>2185</v>
      </c>
      <c r="L116" s="59"/>
      <c r="M116" s="86"/>
    </row>
    <row r="117" spans="1:13" x14ac:dyDescent="0.3">
      <c r="A117" s="20">
        <v>46078</v>
      </c>
      <c r="B117" s="5">
        <v>141</v>
      </c>
      <c r="C117" s="5" t="s">
        <v>11</v>
      </c>
      <c r="D117" s="5" t="s">
        <v>170</v>
      </c>
      <c r="E117" s="5" t="s">
        <v>137</v>
      </c>
      <c r="F117" s="6">
        <v>20</v>
      </c>
      <c r="G117" s="6">
        <v>95</v>
      </c>
      <c r="H117" s="6">
        <v>20</v>
      </c>
      <c r="I117" s="6">
        <f t="shared" si="2"/>
        <v>1900</v>
      </c>
      <c r="J117" s="6">
        <f t="shared" si="0"/>
        <v>285</v>
      </c>
      <c r="K117" s="58">
        <f t="shared" si="1"/>
        <v>2185</v>
      </c>
      <c r="L117" s="59"/>
      <c r="M117" s="60"/>
    </row>
    <row r="118" spans="1:13" x14ac:dyDescent="0.3">
      <c r="A118" s="20">
        <v>46078</v>
      </c>
      <c r="B118" s="5">
        <v>142</v>
      </c>
      <c r="C118" s="5" t="s">
        <v>11</v>
      </c>
      <c r="D118" s="5" t="s">
        <v>170</v>
      </c>
      <c r="E118" s="5" t="s">
        <v>137</v>
      </c>
      <c r="F118" s="6">
        <v>20</v>
      </c>
      <c r="G118" s="6">
        <v>95</v>
      </c>
      <c r="H118" s="6">
        <v>20</v>
      </c>
      <c r="I118" s="6">
        <f t="shared" si="2"/>
        <v>1900</v>
      </c>
      <c r="J118" s="6">
        <f t="shared" si="0"/>
        <v>285</v>
      </c>
      <c r="K118" s="58">
        <f t="shared" si="1"/>
        <v>2185</v>
      </c>
      <c r="L118" s="59"/>
      <c r="M118" s="86"/>
    </row>
    <row r="119" spans="1:13" x14ac:dyDescent="0.3">
      <c r="A119" s="20">
        <v>46078</v>
      </c>
      <c r="B119" s="5">
        <v>143</v>
      </c>
      <c r="C119" s="5" t="s">
        <v>11</v>
      </c>
      <c r="D119" s="14" t="s">
        <v>158</v>
      </c>
      <c r="E119" s="5" t="s">
        <v>98</v>
      </c>
      <c r="F119" s="6">
        <v>1</v>
      </c>
      <c r="G119" s="6">
        <v>365</v>
      </c>
      <c r="H119" s="6">
        <v>1</v>
      </c>
      <c r="I119" s="6">
        <f t="shared" si="2"/>
        <v>365</v>
      </c>
      <c r="J119" s="6">
        <f t="shared" si="0"/>
        <v>54.75</v>
      </c>
      <c r="K119" s="9">
        <f t="shared" si="1"/>
        <v>419.75</v>
      </c>
      <c r="L119" s="10"/>
    </row>
    <row r="120" spans="1:13" x14ac:dyDescent="0.3">
      <c r="A120" s="20">
        <v>46078</v>
      </c>
      <c r="B120" s="5">
        <v>143</v>
      </c>
      <c r="C120" s="5" t="s">
        <v>11</v>
      </c>
      <c r="D120" s="5" t="s">
        <v>158</v>
      </c>
      <c r="E120" s="5" t="s">
        <v>83</v>
      </c>
      <c r="F120" s="6">
        <v>1</v>
      </c>
      <c r="G120" s="6">
        <v>330</v>
      </c>
      <c r="H120" s="6">
        <v>1</v>
      </c>
      <c r="I120" s="6">
        <f t="shared" si="2"/>
        <v>330</v>
      </c>
      <c r="J120" s="6">
        <f t="shared" si="0"/>
        <v>49.5</v>
      </c>
      <c r="K120" s="9">
        <f t="shared" si="1"/>
        <v>379.5</v>
      </c>
      <c r="L120" s="10"/>
      <c r="M120" s="19"/>
    </row>
    <row r="121" spans="1:13" x14ac:dyDescent="0.3">
      <c r="A121" s="78">
        <v>46078</v>
      </c>
      <c r="B121" s="79">
        <v>6</v>
      </c>
      <c r="C121" s="79" t="s">
        <v>146</v>
      </c>
      <c r="D121" s="79" t="s">
        <v>158</v>
      </c>
      <c r="E121" s="79" t="s">
        <v>98</v>
      </c>
      <c r="F121" s="81">
        <v>-1</v>
      </c>
      <c r="G121" s="81">
        <v>365</v>
      </c>
      <c r="H121" s="81">
        <v>-1</v>
      </c>
      <c r="I121" s="81">
        <f t="shared" si="2"/>
        <v>-365</v>
      </c>
      <c r="J121" s="81">
        <f t="shared" si="0"/>
        <v>-54.75</v>
      </c>
      <c r="K121" s="83">
        <f t="shared" si="1"/>
        <v>-419.75</v>
      </c>
      <c r="L121" s="84"/>
      <c r="M121" s="19"/>
    </row>
    <row r="122" spans="1:13" x14ac:dyDescent="0.3">
      <c r="A122" s="78">
        <v>46078</v>
      </c>
      <c r="B122" s="79">
        <v>6</v>
      </c>
      <c r="C122" s="79" t="s">
        <v>146</v>
      </c>
      <c r="D122" s="79" t="s">
        <v>158</v>
      </c>
      <c r="E122" s="79" t="s">
        <v>83</v>
      </c>
      <c r="F122" s="81">
        <v>-1</v>
      </c>
      <c r="G122" s="81">
        <v>330</v>
      </c>
      <c r="H122" s="81">
        <v>-1</v>
      </c>
      <c r="I122" s="81">
        <f t="shared" si="2"/>
        <v>-330</v>
      </c>
      <c r="J122" s="81">
        <f t="shared" si="0"/>
        <v>-49.5</v>
      </c>
      <c r="K122" s="83">
        <f t="shared" si="1"/>
        <v>-379.5</v>
      </c>
      <c r="L122" s="84"/>
      <c r="M122" s="19"/>
    </row>
    <row r="123" spans="1:13" x14ac:dyDescent="0.3">
      <c r="A123" s="20">
        <v>46078</v>
      </c>
      <c r="B123" s="5">
        <v>144</v>
      </c>
      <c r="C123" s="5" t="s">
        <v>11</v>
      </c>
      <c r="D123" s="5" t="s">
        <v>116</v>
      </c>
      <c r="E123" s="5" t="s">
        <v>137</v>
      </c>
      <c r="F123" s="6">
        <v>100</v>
      </c>
      <c r="G123" s="6">
        <v>95</v>
      </c>
      <c r="H123" s="6">
        <v>100</v>
      </c>
      <c r="I123" s="6">
        <f t="shared" si="2"/>
        <v>9500</v>
      </c>
      <c r="J123" s="6">
        <f t="shared" si="0"/>
        <v>1425</v>
      </c>
      <c r="K123" s="43">
        <f t="shared" si="1"/>
        <v>10925</v>
      </c>
      <c r="L123" s="44"/>
      <c r="M123" s="46"/>
    </row>
    <row r="124" spans="1:13" x14ac:dyDescent="0.3">
      <c r="A124" s="20">
        <v>46078</v>
      </c>
      <c r="B124" s="5">
        <v>145</v>
      </c>
      <c r="C124" s="5" t="s">
        <v>11</v>
      </c>
      <c r="D124" s="5" t="s">
        <v>172</v>
      </c>
      <c r="E124" s="5" t="s">
        <v>175</v>
      </c>
      <c r="F124" s="6">
        <v>50</v>
      </c>
      <c r="G124" s="6">
        <v>308</v>
      </c>
      <c r="H124" s="6">
        <v>50</v>
      </c>
      <c r="I124" s="6">
        <f t="shared" si="2"/>
        <v>15400</v>
      </c>
      <c r="J124" s="6">
        <f t="shared" si="0"/>
        <v>2310</v>
      </c>
      <c r="K124" s="43">
        <f t="shared" si="1"/>
        <v>17710</v>
      </c>
      <c r="L124" s="44"/>
      <c r="M124" s="46"/>
    </row>
    <row r="125" spans="1:13" x14ac:dyDescent="0.3">
      <c r="A125" s="20">
        <v>46078</v>
      </c>
      <c r="B125" s="5">
        <v>145</v>
      </c>
      <c r="C125" s="5" t="s">
        <v>11</v>
      </c>
      <c r="D125" s="5" t="s">
        <v>172</v>
      </c>
      <c r="E125" s="5" t="s">
        <v>25</v>
      </c>
      <c r="F125" s="6">
        <v>2</v>
      </c>
      <c r="G125" s="6">
        <v>20.25</v>
      </c>
      <c r="H125" s="6">
        <v>41.28</v>
      </c>
      <c r="I125" s="6">
        <f t="shared" si="2"/>
        <v>835.92000000000007</v>
      </c>
      <c r="J125" s="6">
        <f t="shared" si="0"/>
        <v>125.38800000000001</v>
      </c>
      <c r="K125" s="43">
        <f t="shared" si="1"/>
        <v>961.30800000000011</v>
      </c>
      <c r="L125" s="44"/>
    </row>
    <row r="126" spans="1:13" x14ac:dyDescent="0.3">
      <c r="A126" s="20">
        <v>46078</v>
      </c>
      <c r="B126" s="5">
        <v>145</v>
      </c>
      <c r="C126" s="5" t="s">
        <v>11</v>
      </c>
      <c r="D126" s="5" t="s">
        <v>172</v>
      </c>
      <c r="E126" s="5" t="s">
        <v>83</v>
      </c>
      <c r="F126" s="6">
        <v>1</v>
      </c>
      <c r="G126" s="6">
        <v>330</v>
      </c>
      <c r="H126" s="6">
        <v>1</v>
      </c>
      <c r="I126" s="6">
        <f t="shared" si="2"/>
        <v>330</v>
      </c>
      <c r="J126" s="6">
        <f t="shared" si="0"/>
        <v>49.5</v>
      </c>
      <c r="K126" s="43">
        <f t="shared" si="1"/>
        <v>379.5</v>
      </c>
      <c r="L126" s="44"/>
    </row>
    <row r="127" spans="1:13" x14ac:dyDescent="0.3">
      <c r="A127" s="20">
        <v>46078</v>
      </c>
      <c r="B127" s="5">
        <v>145</v>
      </c>
      <c r="C127" s="5" t="s">
        <v>11</v>
      </c>
      <c r="D127" s="5" t="s">
        <v>172</v>
      </c>
      <c r="E127" s="5" t="s">
        <v>98</v>
      </c>
      <c r="F127" s="6">
        <v>1</v>
      </c>
      <c r="G127" s="6">
        <v>365</v>
      </c>
      <c r="H127" s="6">
        <v>1</v>
      </c>
      <c r="I127" s="6">
        <f t="shared" si="2"/>
        <v>365</v>
      </c>
      <c r="J127" s="6">
        <f t="shared" si="0"/>
        <v>54.75</v>
      </c>
      <c r="K127" s="43">
        <f t="shared" si="1"/>
        <v>419.75</v>
      </c>
      <c r="L127" s="44"/>
      <c r="M127" s="19"/>
    </row>
    <row r="128" spans="1:13" x14ac:dyDescent="0.3">
      <c r="A128" s="20">
        <v>46079</v>
      </c>
      <c r="B128" s="5">
        <v>146</v>
      </c>
      <c r="C128" s="5" t="s">
        <v>11</v>
      </c>
      <c r="D128" s="5" t="s">
        <v>54</v>
      </c>
      <c r="E128" s="5" t="s">
        <v>177</v>
      </c>
      <c r="F128" s="6">
        <v>150</v>
      </c>
      <c r="G128" s="6">
        <v>288</v>
      </c>
      <c r="H128" s="6">
        <v>150</v>
      </c>
      <c r="I128" s="6">
        <f t="shared" si="2"/>
        <v>43200</v>
      </c>
      <c r="J128" s="6">
        <f t="shared" si="0"/>
        <v>6480</v>
      </c>
      <c r="K128" s="9">
        <f t="shared" si="1"/>
        <v>49680</v>
      </c>
      <c r="L128" s="10"/>
    </row>
    <row r="129" spans="1:13" x14ac:dyDescent="0.3">
      <c r="A129" s="20">
        <v>46079</v>
      </c>
      <c r="B129" s="5">
        <v>147</v>
      </c>
      <c r="C129" s="5" t="s">
        <v>11</v>
      </c>
      <c r="D129" s="5" t="s">
        <v>13</v>
      </c>
      <c r="E129" s="5" t="s">
        <v>55</v>
      </c>
      <c r="F129" s="6">
        <v>300</v>
      </c>
      <c r="G129" s="6">
        <v>167</v>
      </c>
      <c r="H129" s="6">
        <v>300</v>
      </c>
      <c r="I129" s="6">
        <f t="shared" si="2"/>
        <v>50100</v>
      </c>
      <c r="J129" s="6">
        <f t="shared" si="0"/>
        <v>7515</v>
      </c>
      <c r="K129" s="87">
        <f t="shared" si="1"/>
        <v>57615</v>
      </c>
      <c r="L129" s="88"/>
    </row>
    <row r="130" spans="1:13" x14ac:dyDescent="0.3">
      <c r="A130" s="20">
        <v>46079</v>
      </c>
      <c r="B130" s="5">
        <v>148</v>
      </c>
      <c r="C130" s="5" t="s">
        <v>11</v>
      </c>
      <c r="D130" s="5" t="s">
        <v>170</v>
      </c>
      <c r="E130" s="5" t="s">
        <v>137</v>
      </c>
      <c r="F130" s="6">
        <v>25</v>
      </c>
      <c r="G130" s="6">
        <v>95</v>
      </c>
      <c r="H130" s="6">
        <v>25</v>
      </c>
      <c r="I130" s="6">
        <f t="shared" si="2"/>
        <v>2375</v>
      </c>
      <c r="J130" s="6">
        <f t="shared" si="0"/>
        <v>356.25</v>
      </c>
      <c r="K130" s="9">
        <f t="shared" si="1"/>
        <v>2731.25</v>
      </c>
      <c r="L130" s="10"/>
    </row>
    <row r="131" spans="1:13" x14ac:dyDescent="0.3">
      <c r="A131" s="20">
        <v>46079</v>
      </c>
      <c r="B131" s="5">
        <v>149</v>
      </c>
      <c r="C131" s="5" t="s">
        <v>11</v>
      </c>
      <c r="D131" s="5" t="s">
        <v>170</v>
      </c>
      <c r="E131" s="5" t="s">
        <v>137</v>
      </c>
      <c r="F131" s="6">
        <v>10</v>
      </c>
      <c r="G131" s="6">
        <v>95</v>
      </c>
      <c r="H131" s="6">
        <v>10</v>
      </c>
      <c r="I131" s="6">
        <f t="shared" si="2"/>
        <v>950</v>
      </c>
      <c r="J131" s="6">
        <f t="shared" si="0"/>
        <v>142.5</v>
      </c>
      <c r="K131" s="9">
        <f t="shared" si="1"/>
        <v>1092.5</v>
      </c>
      <c r="L131" s="10"/>
    </row>
    <row r="132" spans="1:13" x14ac:dyDescent="0.3">
      <c r="A132" s="20">
        <v>46079</v>
      </c>
      <c r="B132" s="5">
        <v>150</v>
      </c>
      <c r="C132" s="5" t="s">
        <v>11</v>
      </c>
      <c r="D132" s="5" t="s">
        <v>72</v>
      </c>
      <c r="E132" s="5" t="s">
        <v>77</v>
      </c>
      <c r="F132" s="6">
        <v>100</v>
      </c>
      <c r="G132" s="6">
        <v>40</v>
      </c>
      <c r="H132" s="6">
        <v>100</v>
      </c>
      <c r="I132" s="6">
        <f t="shared" si="2"/>
        <v>4000</v>
      </c>
      <c r="J132" s="6">
        <f t="shared" si="0"/>
        <v>600</v>
      </c>
      <c r="K132" s="51">
        <f t="shared" si="1"/>
        <v>4600</v>
      </c>
      <c r="L132" s="52"/>
      <c r="M132" s="57"/>
    </row>
    <row r="133" spans="1:13" x14ac:dyDescent="0.3">
      <c r="A133" s="20">
        <v>46081</v>
      </c>
      <c r="B133" s="5">
        <v>151</v>
      </c>
      <c r="C133" s="5" t="s">
        <v>171</v>
      </c>
      <c r="D133" s="5" t="s">
        <v>174</v>
      </c>
      <c r="E133" s="5" t="s">
        <v>175</v>
      </c>
      <c r="F133" s="6">
        <v>50</v>
      </c>
      <c r="G133" s="6">
        <v>310</v>
      </c>
      <c r="H133" s="6">
        <v>50</v>
      </c>
      <c r="I133" s="6">
        <f t="shared" si="2"/>
        <v>15500</v>
      </c>
      <c r="J133" s="6">
        <f t="shared" si="0"/>
        <v>2325</v>
      </c>
      <c r="K133" s="9">
        <f t="shared" si="1"/>
        <v>17825</v>
      </c>
      <c r="L133" s="10"/>
    </row>
    <row r="134" spans="1:13" x14ac:dyDescent="0.3">
      <c r="A134" s="78">
        <v>46082</v>
      </c>
      <c r="B134" s="79" t="s">
        <v>146</v>
      </c>
      <c r="C134" s="79" t="s">
        <v>171</v>
      </c>
      <c r="D134" s="79" t="s">
        <v>174</v>
      </c>
      <c r="E134" s="79" t="s">
        <v>175</v>
      </c>
      <c r="F134" s="81">
        <v>-50</v>
      </c>
      <c r="G134" s="81">
        <v>310</v>
      </c>
      <c r="H134" s="81">
        <v>-50</v>
      </c>
      <c r="I134" s="81">
        <f t="shared" si="2"/>
        <v>-15500</v>
      </c>
      <c r="J134" s="81">
        <f t="shared" si="0"/>
        <v>-2325</v>
      </c>
      <c r="K134" s="83">
        <f t="shared" si="1"/>
        <v>-17825</v>
      </c>
      <c r="L134" s="84"/>
    </row>
    <row r="135" spans="1:13" x14ac:dyDescent="0.3">
      <c r="A135" s="20">
        <v>46081</v>
      </c>
      <c r="B135" s="5">
        <v>152</v>
      </c>
      <c r="C135" s="5" t="s">
        <v>11</v>
      </c>
      <c r="D135" s="5" t="s">
        <v>112</v>
      </c>
      <c r="E135" s="5" t="s">
        <v>55</v>
      </c>
      <c r="F135" s="6">
        <v>500</v>
      </c>
      <c r="G135" s="6">
        <v>170</v>
      </c>
      <c r="H135" s="6">
        <v>500</v>
      </c>
      <c r="I135" s="6">
        <f t="shared" si="2"/>
        <v>85000</v>
      </c>
      <c r="J135" s="6">
        <f t="shared" si="0"/>
        <v>12750</v>
      </c>
      <c r="K135" s="43">
        <f t="shared" si="1"/>
        <v>97750</v>
      </c>
      <c r="L135" s="44"/>
      <c r="M135" s="42"/>
    </row>
    <row r="136" spans="1:13" x14ac:dyDescent="0.3">
      <c r="A136" s="20">
        <v>46081</v>
      </c>
      <c r="B136" s="5">
        <v>153</v>
      </c>
      <c r="C136" s="5" t="s">
        <v>11</v>
      </c>
      <c r="D136" s="5" t="s">
        <v>176</v>
      </c>
      <c r="E136" s="5" t="s">
        <v>21</v>
      </c>
      <c r="F136" s="6">
        <v>5</v>
      </c>
      <c r="G136" s="6">
        <v>420</v>
      </c>
      <c r="H136" s="6">
        <v>5</v>
      </c>
      <c r="I136" s="6">
        <f t="shared" si="2"/>
        <v>2100</v>
      </c>
      <c r="J136" s="6">
        <f t="shared" si="0"/>
        <v>315</v>
      </c>
      <c r="K136" s="43">
        <f t="shared" si="1"/>
        <v>2415</v>
      </c>
      <c r="L136" s="44"/>
      <c r="M136" s="46"/>
    </row>
    <row r="137" spans="1:13" x14ac:dyDescent="0.3">
      <c r="A137" s="20">
        <v>46081</v>
      </c>
      <c r="B137" s="5">
        <v>154</v>
      </c>
      <c r="C137" s="5" t="s">
        <v>171</v>
      </c>
      <c r="D137" s="5" t="s">
        <v>75</v>
      </c>
      <c r="E137" s="5" t="s">
        <v>177</v>
      </c>
      <c r="F137" s="6">
        <v>5</v>
      </c>
      <c r="G137" s="6">
        <v>285</v>
      </c>
      <c r="H137" s="6">
        <v>5</v>
      </c>
      <c r="I137" s="6">
        <f t="shared" si="2"/>
        <v>1425</v>
      </c>
      <c r="J137" s="6">
        <f t="shared" si="0"/>
        <v>213.75</v>
      </c>
      <c r="K137" s="9">
        <f t="shared" si="1"/>
        <v>1638.75</v>
      </c>
      <c r="L137" s="10"/>
    </row>
    <row r="138" spans="1:13" x14ac:dyDescent="0.3">
      <c r="A138" s="20">
        <v>46081</v>
      </c>
      <c r="B138" s="5">
        <v>155</v>
      </c>
      <c r="C138" s="5" t="s">
        <v>11</v>
      </c>
      <c r="D138" s="5" t="s">
        <v>110</v>
      </c>
      <c r="E138" s="5" t="s">
        <v>21</v>
      </c>
      <c r="F138" s="6">
        <v>10</v>
      </c>
      <c r="G138" s="6">
        <v>420</v>
      </c>
      <c r="H138" s="6">
        <v>10</v>
      </c>
      <c r="I138" s="6">
        <f t="shared" si="2"/>
        <v>4200</v>
      </c>
      <c r="J138" s="6">
        <f t="shared" si="0"/>
        <v>630</v>
      </c>
      <c r="K138" s="9">
        <f t="shared" si="1"/>
        <v>4830</v>
      </c>
      <c r="L138" s="10"/>
    </row>
    <row r="139" spans="1:13" x14ac:dyDescent="0.3">
      <c r="A139" s="20"/>
      <c r="B139" s="5"/>
      <c r="C139" s="5"/>
      <c r="D139" s="5"/>
      <c r="E139" s="5"/>
      <c r="F139" s="6"/>
      <c r="G139" s="6"/>
      <c r="H139" s="6"/>
      <c r="I139" s="6">
        <f t="shared" si="2"/>
        <v>0</v>
      </c>
      <c r="J139" s="6">
        <f t="shared" si="0"/>
        <v>0</v>
      </c>
      <c r="K139" s="9">
        <f t="shared" si="1"/>
        <v>0</v>
      </c>
      <c r="L139" s="10"/>
    </row>
    <row r="140" spans="1:13" x14ac:dyDescent="0.3">
      <c r="A140" s="20"/>
      <c r="B140" s="5"/>
      <c r="C140" s="5"/>
      <c r="D140" s="5"/>
      <c r="E140" s="5"/>
      <c r="F140" s="6"/>
      <c r="G140" s="6"/>
      <c r="H140" s="6"/>
      <c r="I140" s="6">
        <f t="shared" si="2"/>
        <v>0</v>
      </c>
      <c r="J140" s="6">
        <f t="shared" si="0"/>
        <v>0</v>
      </c>
      <c r="K140" s="9">
        <f t="shared" si="1"/>
        <v>0</v>
      </c>
      <c r="L140" s="10"/>
    </row>
    <row r="141" spans="1:13" x14ac:dyDescent="0.3">
      <c r="A141" s="20"/>
      <c r="B141" s="5"/>
      <c r="C141" s="5"/>
      <c r="D141" s="5"/>
      <c r="E141" s="5"/>
      <c r="F141" s="6"/>
      <c r="G141" s="6"/>
      <c r="H141" s="6"/>
      <c r="I141" s="6">
        <f t="shared" si="2"/>
        <v>0</v>
      </c>
      <c r="J141" s="6">
        <f t="shared" si="0"/>
        <v>0</v>
      </c>
      <c r="K141" s="9">
        <f t="shared" si="1"/>
        <v>0</v>
      </c>
      <c r="L141" s="10"/>
    </row>
    <row r="142" spans="1:13" x14ac:dyDescent="0.3">
      <c r="A142" s="20"/>
      <c r="B142" s="5"/>
      <c r="C142" s="5"/>
      <c r="D142" s="5"/>
      <c r="E142" s="5"/>
      <c r="F142" s="6"/>
      <c r="G142" s="6"/>
      <c r="H142" s="6"/>
      <c r="I142" s="6">
        <f t="shared" si="2"/>
        <v>0</v>
      </c>
      <c r="J142" s="6">
        <f t="shared" si="0"/>
        <v>0</v>
      </c>
      <c r="K142" s="9">
        <f t="shared" si="1"/>
        <v>0</v>
      </c>
      <c r="L142" s="10"/>
    </row>
    <row r="143" spans="1:13" x14ac:dyDescent="0.3">
      <c r="A143" s="20"/>
      <c r="B143" s="5"/>
      <c r="C143" s="5"/>
      <c r="D143" s="5"/>
      <c r="E143" s="5"/>
      <c r="F143" s="6"/>
      <c r="G143" s="6"/>
      <c r="H143" s="6"/>
      <c r="I143" s="6">
        <f t="shared" si="2"/>
        <v>0</v>
      </c>
      <c r="J143" s="6">
        <f t="shared" si="0"/>
        <v>0</v>
      </c>
      <c r="K143" s="9">
        <f t="shared" si="1"/>
        <v>0</v>
      </c>
      <c r="L143" s="10"/>
    </row>
    <row r="144" spans="1:13" x14ac:dyDescent="0.3">
      <c r="A144" s="20"/>
      <c r="B144" s="5"/>
      <c r="C144" s="5"/>
      <c r="D144" s="14"/>
      <c r="E144" s="5"/>
      <c r="F144" s="6"/>
      <c r="G144" s="6"/>
      <c r="H144" s="6"/>
      <c r="I144" s="6">
        <f t="shared" si="2"/>
        <v>0</v>
      </c>
      <c r="J144" s="6">
        <f t="shared" si="0"/>
        <v>0</v>
      </c>
      <c r="K144" s="9">
        <f t="shared" si="1"/>
        <v>0</v>
      </c>
      <c r="L144" s="10"/>
    </row>
    <row r="145" spans="1:13" x14ac:dyDescent="0.3">
      <c r="A145" s="20"/>
      <c r="B145" s="5"/>
      <c r="C145" s="5"/>
      <c r="D145" s="5"/>
      <c r="E145" s="5"/>
      <c r="F145" s="6"/>
      <c r="G145" s="6"/>
      <c r="H145" s="6"/>
      <c r="I145" s="6">
        <f t="shared" si="2"/>
        <v>0</v>
      </c>
      <c r="J145" s="6">
        <f t="shared" si="0"/>
        <v>0</v>
      </c>
      <c r="K145" s="9">
        <f t="shared" si="1"/>
        <v>0</v>
      </c>
      <c r="L145" s="10"/>
    </row>
    <row r="146" spans="1:13" x14ac:dyDescent="0.3">
      <c r="A146" s="20"/>
      <c r="B146" s="5"/>
      <c r="C146" s="5"/>
      <c r="D146" s="5"/>
      <c r="E146" s="5"/>
      <c r="F146" s="6"/>
      <c r="G146" s="6"/>
      <c r="H146" s="6"/>
      <c r="I146" s="6">
        <f t="shared" si="2"/>
        <v>0</v>
      </c>
      <c r="J146" s="6">
        <f t="shared" si="0"/>
        <v>0</v>
      </c>
      <c r="K146" s="9">
        <f t="shared" si="1"/>
        <v>0</v>
      </c>
      <c r="L146" s="10"/>
    </row>
    <row r="147" spans="1:13" x14ac:dyDescent="0.3">
      <c r="A147" s="20"/>
      <c r="B147" s="5"/>
      <c r="C147" s="5"/>
      <c r="D147" s="5"/>
      <c r="E147" s="5"/>
      <c r="F147" s="6"/>
      <c r="G147" s="6"/>
      <c r="H147" s="6"/>
      <c r="I147" s="6">
        <f t="shared" si="2"/>
        <v>0</v>
      </c>
      <c r="J147" s="6">
        <f t="shared" si="0"/>
        <v>0</v>
      </c>
      <c r="K147" s="9">
        <f t="shared" si="1"/>
        <v>0</v>
      </c>
      <c r="L147" s="10"/>
    </row>
    <row r="148" spans="1:13" x14ac:dyDescent="0.3">
      <c r="A148" s="20"/>
      <c r="B148" s="5"/>
      <c r="C148" s="5"/>
      <c r="D148" s="14"/>
      <c r="E148" s="5"/>
      <c r="F148" s="6"/>
      <c r="G148" s="6"/>
      <c r="H148" s="6"/>
      <c r="I148" s="6">
        <f t="shared" si="2"/>
        <v>0</v>
      </c>
      <c r="J148" s="6">
        <f t="shared" si="0"/>
        <v>0</v>
      </c>
      <c r="K148" s="9">
        <f t="shared" si="1"/>
        <v>0</v>
      </c>
      <c r="L148" s="10"/>
    </row>
    <row r="149" spans="1:13" x14ac:dyDescent="0.3">
      <c r="A149" s="20"/>
      <c r="B149" s="5"/>
      <c r="C149" s="5"/>
      <c r="D149" s="5"/>
      <c r="E149" s="5"/>
      <c r="F149" s="6"/>
      <c r="G149" s="6"/>
      <c r="H149" s="6"/>
      <c r="I149" s="6">
        <f t="shared" si="2"/>
        <v>0</v>
      </c>
      <c r="J149" s="6">
        <f t="shared" si="0"/>
        <v>0</v>
      </c>
      <c r="K149" s="9">
        <f t="shared" si="1"/>
        <v>0</v>
      </c>
      <c r="L149" s="10"/>
    </row>
    <row r="150" spans="1:13" x14ac:dyDescent="0.3">
      <c r="A150" s="20"/>
      <c r="B150" s="5"/>
      <c r="C150" s="5"/>
      <c r="D150" s="5"/>
      <c r="E150" s="5"/>
      <c r="F150" s="6"/>
      <c r="G150" s="6"/>
      <c r="H150" s="6"/>
      <c r="I150" s="6">
        <f t="shared" si="2"/>
        <v>0</v>
      </c>
      <c r="J150" s="6">
        <f t="shared" si="0"/>
        <v>0</v>
      </c>
      <c r="K150" s="9">
        <f t="shared" si="1"/>
        <v>0</v>
      </c>
      <c r="L150" s="10"/>
      <c r="M150" s="19"/>
    </row>
    <row r="151" spans="1:13" x14ac:dyDescent="0.3">
      <c r="A151" s="20"/>
      <c r="B151" s="5"/>
      <c r="C151" s="5"/>
      <c r="D151" s="5"/>
      <c r="E151" s="5"/>
      <c r="F151" s="6"/>
      <c r="G151" s="6"/>
      <c r="H151" s="6"/>
      <c r="I151" s="6">
        <f t="shared" si="2"/>
        <v>0</v>
      </c>
      <c r="J151" s="6">
        <f t="shared" si="0"/>
        <v>0</v>
      </c>
      <c r="K151" s="9">
        <f t="shared" si="1"/>
        <v>0</v>
      </c>
      <c r="L151" s="10"/>
      <c r="M151" s="19"/>
    </row>
    <row r="152" spans="1:13" x14ac:dyDescent="0.3">
      <c r="A152" s="20"/>
      <c r="B152" s="5"/>
      <c r="C152" s="5"/>
      <c r="D152" s="5"/>
      <c r="E152" s="5"/>
      <c r="F152" s="6"/>
      <c r="G152" s="6"/>
      <c r="H152" s="6"/>
      <c r="I152" s="6">
        <f t="shared" si="2"/>
        <v>0</v>
      </c>
      <c r="J152" s="6">
        <f t="shared" si="0"/>
        <v>0</v>
      </c>
      <c r="K152" s="9">
        <f t="shared" si="1"/>
        <v>0</v>
      </c>
      <c r="L152" s="10"/>
    </row>
    <row r="153" spans="1:13" x14ac:dyDescent="0.3">
      <c r="A153" s="20"/>
      <c r="B153" s="5"/>
      <c r="C153" s="5"/>
      <c r="D153" s="5"/>
      <c r="E153" s="5"/>
      <c r="F153" s="6"/>
      <c r="G153" s="6"/>
      <c r="H153" s="6"/>
      <c r="I153" s="6">
        <f t="shared" si="2"/>
        <v>0</v>
      </c>
      <c r="J153" s="6">
        <f t="shared" si="0"/>
        <v>0</v>
      </c>
      <c r="K153" s="9">
        <f t="shared" si="1"/>
        <v>0</v>
      </c>
      <c r="L153" s="10"/>
    </row>
    <row r="154" spans="1:13" x14ac:dyDescent="0.3">
      <c r="A154" s="20"/>
      <c r="B154" s="5"/>
      <c r="C154" s="5"/>
      <c r="D154" s="5"/>
      <c r="E154" s="5"/>
      <c r="F154" s="6"/>
      <c r="G154" s="6"/>
      <c r="H154" s="6"/>
      <c r="I154" s="6">
        <f t="shared" si="2"/>
        <v>0</v>
      </c>
      <c r="J154" s="6">
        <f t="shared" si="0"/>
        <v>0</v>
      </c>
      <c r="K154" s="9">
        <f t="shared" si="1"/>
        <v>0</v>
      </c>
      <c r="L154" s="10"/>
    </row>
    <row r="155" spans="1:13" x14ac:dyDescent="0.3">
      <c r="A155" s="20"/>
      <c r="B155" s="5"/>
      <c r="C155" s="5"/>
      <c r="D155" s="5"/>
      <c r="E155" s="5"/>
      <c r="F155" s="6"/>
      <c r="G155" s="6"/>
      <c r="H155" s="6"/>
      <c r="I155" s="6">
        <f t="shared" si="2"/>
        <v>0</v>
      </c>
      <c r="J155" s="6">
        <f t="shared" si="0"/>
        <v>0</v>
      </c>
      <c r="K155" s="9">
        <f t="shared" si="1"/>
        <v>0</v>
      </c>
      <c r="L155" s="10"/>
    </row>
    <row r="156" spans="1:13" x14ac:dyDescent="0.3">
      <c r="A156" s="20"/>
      <c r="B156" s="5"/>
      <c r="C156" s="5"/>
      <c r="D156" s="5"/>
      <c r="E156" s="5"/>
      <c r="F156" s="6"/>
      <c r="G156" s="6"/>
      <c r="H156" s="6"/>
      <c r="I156" s="6">
        <f t="shared" si="2"/>
        <v>0</v>
      </c>
      <c r="J156" s="6">
        <f t="shared" si="0"/>
        <v>0</v>
      </c>
      <c r="K156" s="9">
        <f t="shared" si="1"/>
        <v>0</v>
      </c>
      <c r="L156" s="10"/>
    </row>
    <row r="157" spans="1:13" x14ac:dyDescent="0.3">
      <c r="A157" s="20"/>
      <c r="B157" s="5"/>
      <c r="C157" s="5"/>
      <c r="D157" s="5"/>
      <c r="E157" s="5"/>
      <c r="F157" s="6"/>
      <c r="G157" s="6"/>
      <c r="H157" s="6"/>
      <c r="I157" s="6">
        <f t="shared" si="2"/>
        <v>0</v>
      </c>
      <c r="J157" s="6">
        <f t="shared" si="0"/>
        <v>0</v>
      </c>
      <c r="K157" s="9">
        <f t="shared" si="1"/>
        <v>0</v>
      </c>
      <c r="L157" s="10"/>
    </row>
    <row r="158" spans="1:13" x14ac:dyDescent="0.3">
      <c r="A158" s="20"/>
      <c r="B158" s="5"/>
      <c r="C158" s="5"/>
      <c r="D158" s="5"/>
      <c r="E158" s="5"/>
      <c r="F158" s="6"/>
      <c r="G158" s="6"/>
      <c r="H158" s="6"/>
      <c r="I158" s="6">
        <f t="shared" si="2"/>
        <v>0</v>
      </c>
      <c r="J158" s="6">
        <f t="shared" si="0"/>
        <v>0</v>
      </c>
      <c r="K158" s="9">
        <f t="shared" si="1"/>
        <v>0</v>
      </c>
      <c r="L158" s="10"/>
    </row>
    <row r="159" spans="1:13" x14ac:dyDescent="0.3">
      <c r="A159" s="20"/>
      <c r="B159" s="5"/>
      <c r="C159" s="5"/>
      <c r="D159" s="5"/>
      <c r="E159" s="5"/>
      <c r="F159" s="6"/>
      <c r="G159" s="6"/>
      <c r="H159" s="6"/>
      <c r="I159" s="6">
        <f t="shared" si="2"/>
        <v>0</v>
      </c>
      <c r="J159" s="6">
        <f t="shared" si="0"/>
        <v>0</v>
      </c>
      <c r="K159" s="9">
        <f t="shared" si="1"/>
        <v>0</v>
      </c>
      <c r="L159" s="10"/>
      <c r="M159" s="19"/>
    </row>
    <row r="160" spans="1:13" x14ac:dyDescent="0.3">
      <c r="A160" s="20"/>
      <c r="B160" s="5"/>
      <c r="C160" s="5"/>
      <c r="D160" s="5"/>
      <c r="E160" s="5"/>
      <c r="F160" s="6"/>
      <c r="G160" s="6"/>
      <c r="H160" s="6"/>
      <c r="I160" s="6">
        <f t="shared" si="2"/>
        <v>0</v>
      </c>
      <c r="J160" s="6">
        <f t="shared" si="0"/>
        <v>0</v>
      </c>
      <c r="K160" s="9">
        <f t="shared" si="1"/>
        <v>0</v>
      </c>
      <c r="L160" s="10"/>
    </row>
    <row r="161" spans="1:12" x14ac:dyDescent="0.3">
      <c r="A161" s="20"/>
      <c r="B161" s="5"/>
      <c r="C161" s="5"/>
      <c r="D161" s="5"/>
      <c r="E161" s="5"/>
      <c r="F161" s="6"/>
      <c r="G161" s="6"/>
      <c r="H161" s="6"/>
      <c r="I161" s="6">
        <f t="shared" si="2"/>
        <v>0</v>
      </c>
      <c r="J161" s="6">
        <f t="shared" si="0"/>
        <v>0</v>
      </c>
      <c r="K161" s="9">
        <f t="shared" si="1"/>
        <v>0</v>
      </c>
      <c r="L161" s="10"/>
    </row>
    <row r="162" spans="1:12" x14ac:dyDescent="0.3">
      <c r="A162" s="20"/>
      <c r="B162" s="5"/>
      <c r="C162" s="5"/>
      <c r="D162" s="5"/>
      <c r="E162" s="5"/>
      <c r="F162" s="6"/>
      <c r="G162" s="6"/>
      <c r="H162" s="6"/>
      <c r="I162" s="6">
        <f t="shared" si="2"/>
        <v>0</v>
      </c>
      <c r="J162" s="6">
        <f t="shared" si="0"/>
        <v>0</v>
      </c>
      <c r="K162" s="9">
        <f t="shared" si="1"/>
        <v>0</v>
      </c>
      <c r="L162" s="10"/>
    </row>
    <row r="163" spans="1:12" x14ac:dyDescent="0.3">
      <c r="A163" s="20"/>
      <c r="B163" s="5"/>
      <c r="C163" s="5"/>
      <c r="D163" s="5"/>
      <c r="E163" s="5"/>
      <c r="F163" s="6"/>
      <c r="G163" s="6"/>
      <c r="H163" s="6"/>
      <c r="I163" s="6">
        <f t="shared" si="2"/>
        <v>0</v>
      </c>
      <c r="J163" s="6">
        <f t="shared" si="0"/>
        <v>0</v>
      </c>
      <c r="K163" s="9">
        <f t="shared" si="1"/>
        <v>0</v>
      </c>
      <c r="L163" s="10"/>
    </row>
    <row r="164" spans="1:12" x14ac:dyDescent="0.3">
      <c r="A164" s="20"/>
      <c r="B164" s="5"/>
      <c r="C164" s="5"/>
      <c r="D164" s="5"/>
      <c r="E164" s="5"/>
      <c r="F164" s="6"/>
      <c r="G164" s="6"/>
      <c r="H164" s="6"/>
      <c r="I164" s="6">
        <f t="shared" si="2"/>
        <v>0</v>
      </c>
      <c r="J164" s="6">
        <f t="shared" si="0"/>
        <v>0</v>
      </c>
      <c r="K164" s="9">
        <f t="shared" si="1"/>
        <v>0</v>
      </c>
      <c r="L164" s="10"/>
    </row>
    <row r="165" spans="1:12" x14ac:dyDescent="0.3">
      <c r="A165" s="20"/>
      <c r="B165" s="5"/>
      <c r="C165" s="5"/>
      <c r="D165" s="5"/>
      <c r="E165" s="5"/>
      <c r="F165" s="6"/>
      <c r="G165" s="6"/>
      <c r="H165" s="6"/>
      <c r="I165" s="6">
        <f t="shared" si="2"/>
        <v>0</v>
      </c>
      <c r="J165" s="6">
        <f t="shared" si="0"/>
        <v>0</v>
      </c>
      <c r="K165" s="9">
        <f t="shared" si="1"/>
        <v>0</v>
      </c>
      <c r="L165" s="10"/>
    </row>
    <row r="166" spans="1:12" x14ac:dyDescent="0.3">
      <c r="A166" s="20"/>
      <c r="B166" s="5"/>
      <c r="C166" s="5"/>
      <c r="D166" s="5"/>
      <c r="E166" s="5"/>
      <c r="F166" s="6"/>
      <c r="G166" s="6"/>
      <c r="H166" s="6"/>
      <c r="I166" s="6">
        <f t="shared" si="2"/>
        <v>0</v>
      </c>
      <c r="J166" s="6">
        <f t="shared" si="0"/>
        <v>0</v>
      </c>
      <c r="K166" s="9">
        <f t="shared" si="1"/>
        <v>0</v>
      </c>
      <c r="L166" s="10"/>
    </row>
    <row r="167" spans="1:12" x14ac:dyDescent="0.3">
      <c r="A167" s="20"/>
      <c r="B167" s="5"/>
      <c r="C167" s="5"/>
      <c r="D167" s="5"/>
      <c r="E167" s="5"/>
      <c r="F167" s="6"/>
      <c r="G167" s="6"/>
      <c r="H167" s="6"/>
      <c r="I167" s="6">
        <f t="shared" si="2"/>
        <v>0</v>
      </c>
      <c r="J167" s="6">
        <f t="shared" si="0"/>
        <v>0</v>
      </c>
      <c r="K167" s="9">
        <f t="shared" si="1"/>
        <v>0</v>
      </c>
      <c r="L167" s="10"/>
    </row>
    <row r="168" spans="1:12" x14ac:dyDescent="0.3">
      <c r="A168" s="20"/>
      <c r="B168" s="5"/>
      <c r="C168" s="5"/>
      <c r="D168" s="5"/>
      <c r="E168" s="5"/>
      <c r="F168" s="6"/>
      <c r="G168" s="6"/>
      <c r="H168" s="6"/>
      <c r="I168" s="6">
        <f t="shared" si="2"/>
        <v>0</v>
      </c>
      <c r="J168" s="6">
        <f t="shared" si="0"/>
        <v>0</v>
      </c>
      <c r="K168" s="9">
        <f t="shared" si="1"/>
        <v>0</v>
      </c>
      <c r="L168" s="10"/>
    </row>
    <row r="169" spans="1:12" x14ac:dyDescent="0.3">
      <c r="A169" s="8"/>
      <c r="B169" s="5"/>
      <c r="C169" s="5"/>
      <c r="D169" s="5"/>
      <c r="E169" s="5"/>
      <c r="F169" s="12">
        <f>SUBTOTAL(9,F3:F168)</f>
        <v>39286.29</v>
      </c>
      <c r="G169" s="12"/>
      <c r="H169" s="12">
        <f>SUBTOTAL(9,H3:H168)</f>
        <v>39665.94</v>
      </c>
      <c r="I169" s="12">
        <f>SUBTOTAL(9,I3:I168)</f>
        <v>4052371.6884999997</v>
      </c>
      <c r="J169" s="12">
        <f>SUBTOTAL(9,J3:J168)</f>
        <v>607855.75327500014</v>
      </c>
      <c r="K169" s="12">
        <f>SUBTOTAL(9,K3:K168)</f>
        <v>4660227.4417749997</v>
      </c>
      <c r="L169" s="13"/>
    </row>
    <row r="174" spans="1:12" x14ac:dyDescent="0.3">
      <c r="I174" s="77"/>
    </row>
  </sheetData>
  <autoFilter ref="A2:M168" xr:uid="{104AB9E9-6E2F-4B5A-AC1C-407C55197531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6AABA-378B-4D2B-AFE8-308C59FC741B}">
  <sheetPr>
    <tabColor rgb="FFFFC000"/>
  </sheetPr>
  <dimension ref="A1:N204"/>
  <sheetViews>
    <sheetView rightToLeft="1" topLeftCell="D1" workbookViewId="0">
      <pane ySplit="2" topLeftCell="A158" activePane="bottomLeft" state="frozen"/>
      <selection pane="bottomLeft" activeCell="F162" sqref="F162"/>
    </sheetView>
  </sheetViews>
  <sheetFormatPr defaultRowHeight="14.4" x14ac:dyDescent="0.3"/>
  <cols>
    <col min="1" max="1" width="11.6640625" bestFit="1" customWidth="1"/>
    <col min="2" max="2" width="10" customWidth="1"/>
    <col min="3" max="3" width="9" customWidth="1"/>
    <col min="4" max="4" width="34.77734375" bestFit="1" customWidth="1"/>
    <col min="5" max="5" width="25" bestFit="1" customWidth="1"/>
    <col min="6" max="6" width="19.21875" bestFit="1" customWidth="1"/>
    <col min="8" max="8" width="15.6640625" bestFit="1" customWidth="1"/>
    <col min="9" max="9" width="12.77734375" bestFit="1" customWidth="1"/>
    <col min="10" max="10" width="13.6640625" bestFit="1" customWidth="1"/>
    <col min="11" max="11" width="12.77734375" bestFit="1" customWidth="1"/>
    <col min="12" max="12" width="22.77734375" customWidth="1"/>
    <col min="13" max="13" width="24.44140625" customWidth="1"/>
  </cols>
  <sheetData>
    <row r="1" spans="1:13" ht="15.6" x14ac:dyDescent="0.3">
      <c r="H1" s="1" t="s">
        <v>181</v>
      </c>
      <c r="I1" s="2"/>
      <c r="J1" s="2"/>
      <c r="K1" s="2"/>
      <c r="L1" s="2"/>
    </row>
    <row r="2" spans="1:13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17</v>
      </c>
      <c r="G2" s="3" t="s">
        <v>5</v>
      </c>
      <c r="H2" s="3" t="s">
        <v>18</v>
      </c>
      <c r="I2" s="3" t="s">
        <v>6</v>
      </c>
      <c r="J2" s="3" t="s">
        <v>7</v>
      </c>
      <c r="K2" s="3" t="s">
        <v>8</v>
      </c>
      <c r="L2" s="3" t="s">
        <v>9</v>
      </c>
      <c r="M2" s="4" t="s">
        <v>10</v>
      </c>
    </row>
    <row r="3" spans="1:13" x14ac:dyDescent="0.3">
      <c r="A3" s="20">
        <v>46083</v>
      </c>
      <c r="B3" s="5">
        <v>156</v>
      </c>
      <c r="C3" s="5" t="s">
        <v>11</v>
      </c>
      <c r="D3" s="5" t="s">
        <v>161</v>
      </c>
      <c r="E3" s="14" t="s">
        <v>140</v>
      </c>
      <c r="F3" s="6">
        <v>2</v>
      </c>
      <c r="G3" s="6">
        <v>355</v>
      </c>
      <c r="H3" s="15">
        <v>2</v>
      </c>
      <c r="I3" s="6">
        <f>H3*G3</f>
        <v>710</v>
      </c>
      <c r="J3" s="14">
        <f t="shared" ref="J3:J170" si="0">I3*15%</f>
        <v>106.5</v>
      </c>
      <c r="K3" s="40">
        <f t="shared" ref="K3:K170" si="1">I3+J3</f>
        <v>816.5</v>
      </c>
      <c r="L3" s="45"/>
      <c r="M3" s="42"/>
    </row>
    <row r="4" spans="1:13" x14ac:dyDescent="0.3">
      <c r="A4" s="20">
        <v>46083</v>
      </c>
      <c r="B4" s="5">
        <v>156</v>
      </c>
      <c r="C4" s="5" t="s">
        <v>11</v>
      </c>
      <c r="D4" s="5" t="s">
        <v>161</v>
      </c>
      <c r="E4" s="5" t="s">
        <v>64</v>
      </c>
      <c r="F4" s="6">
        <v>20</v>
      </c>
      <c r="G4" s="6">
        <v>405</v>
      </c>
      <c r="H4" s="15">
        <v>20</v>
      </c>
      <c r="I4" s="6">
        <f>H4*G4</f>
        <v>8100</v>
      </c>
      <c r="J4" s="14">
        <f t="shared" si="0"/>
        <v>1215</v>
      </c>
      <c r="K4" s="40">
        <f t="shared" si="1"/>
        <v>9315</v>
      </c>
      <c r="L4" s="41"/>
      <c r="M4" s="19"/>
    </row>
    <row r="5" spans="1:13" x14ac:dyDescent="0.3">
      <c r="A5" s="20">
        <v>46083</v>
      </c>
      <c r="B5" s="5">
        <v>156</v>
      </c>
      <c r="C5" s="5" t="s">
        <v>11</v>
      </c>
      <c r="D5" s="5" t="s">
        <v>161</v>
      </c>
      <c r="E5" s="14" t="s">
        <v>183</v>
      </c>
      <c r="F5" s="6">
        <v>2</v>
      </c>
      <c r="G5" s="6">
        <v>648</v>
      </c>
      <c r="H5" s="15">
        <v>2</v>
      </c>
      <c r="I5" s="6">
        <f>H5*G5</f>
        <v>1296</v>
      </c>
      <c r="J5" s="14">
        <f t="shared" si="0"/>
        <v>194.4</v>
      </c>
      <c r="K5" s="40">
        <f t="shared" si="1"/>
        <v>1490.4</v>
      </c>
      <c r="L5" s="41"/>
      <c r="M5" s="19"/>
    </row>
    <row r="6" spans="1:13" x14ac:dyDescent="0.3">
      <c r="A6" s="20">
        <v>46083</v>
      </c>
      <c r="B6" s="5">
        <v>157</v>
      </c>
      <c r="C6" s="5" t="s">
        <v>11</v>
      </c>
      <c r="D6" s="5" t="s">
        <v>184</v>
      </c>
      <c r="E6" s="14" t="s">
        <v>137</v>
      </c>
      <c r="F6" s="6">
        <v>300</v>
      </c>
      <c r="G6" s="6">
        <v>97</v>
      </c>
      <c r="H6" s="15">
        <v>300</v>
      </c>
      <c r="I6" s="6">
        <f>H6*G6</f>
        <v>29100</v>
      </c>
      <c r="J6" s="14">
        <f t="shared" si="0"/>
        <v>4365</v>
      </c>
      <c r="K6" s="40">
        <f t="shared" si="1"/>
        <v>33465</v>
      </c>
      <c r="L6" s="41"/>
      <c r="M6" s="42"/>
    </row>
    <row r="7" spans="1:13" x14ac:dyDescent="0.3">
      <c r="A7" s="20">
        <v>46083</v>
      </c>
      <c r="B7" s="5">
        <v>158</v>
      </c>
      <c r="C7" s="5" t="s">
        <v>11</v>
      </c>
      <c r="D7" s="14" t="s">
        <v>185</v>
      </c>
      <c r="E7" s="5" t="s">
        <v>98</v>
      </c>
      <c r="F7" s="6">
        <v>7</v>
      </c>
      <c r="G7" s="6">
        <v>362</v>
      </c>
      <c r="H7" s="15">
        <v>7</v>
      </c>
      <c r="I7" s="6">
        <f>H7*G7</f>
        <v>2534</v>
      </c>
      <c r="J7" s="14">
        <f t="shared" si="0"/>
        <v>380.09999999999997</v>
      </c>
      <c r="K7" s="40">
        <f t="shared" si="1"/>
        <v>2914.1</v>
      </c>
      <c r="L7" s="41"/>
      <c r="M7" s="42"/>
    </row>
    <row r="8" spans="1:13" x14ac:dyDescent="0.3">
      <c r="A8" s="20">
        <v>46084</v>
      </c>
      <c r="B8" s="14">
        <v>159</v>
      </c>
      <c r="C8" s="5" t="s">
        <v>11</v>
      </c>
      <c r="D8" s="14" t="s">
        <v>96</v>
      </c>
      <c r="E8" s="5" t="s">
        <v>186</v>
      </c>
      <c r="F8" s="14">
        <v>50</v>
      </c>
      <c r="G8" s="14">
        <v>355</v>
      </c>
      <c r="H8" s="14">
        <v>50</v>
      </c>
      <c r="I8" s="14">
        <f t="shared" ref="I8:I170" si="2">H8*G8</f>
        <v>17750</v>
      </c>
      <c r="J8" s="14">
        <f t="shared" si="0"/>
        <v>2662.5</v>
      </c>
      <c r="K8" s="17">
        <f t="shared" si="1"/>
        <v>20412.5</v>
      </c>
      <c r="L8" s="7"/>
    </row>
    <row r="9" spans="1:13" x14ac:dyDescent="0.3">
      <c r="A9" s="78">
        <v>46086</v>
      </c>
      <c r="B9" s="79">
        <v>8</v>
      </c>
      <c r="C9" s="79" t="s">
        <v>146</v>
      </c>
      <c r="D9" s="79" t="s">
        <v>96</v>
      </c>
      <c r="E9" s="79" t="s">
        <v>186</v>
      </c>
      <c r="F9" s="79">
        <v>-50</v>
      </c>
      <c r="G9" s="79">
        <v>355</v>
      </c>
      <c r="H9" s="79">
        <v>-50</v>
      </c>
      <c r="I9" s="79">
        <f t="shared" si="2"/>
        <v>-17750</v>
      </c>
      <c r="J9" s="79">
        <f t="shared" si="0"/>
        <v>-2662.5</v>
      </c>
      <c r="K9" s="83">
        <f t="shared" si="1"/>
        <v>-20412.5</v>
      </c>
      <c r="L9" s="99"/>
    </row>
    <row r="10" spans="1:13" x14ac:dyDescent="0.3">
      <c r="A10" s="20">
        <v>46084</v>
      </c>
      <c r="B10" s="5">
        <v>160</v>
      </c>
      <c r="C10" s="5" t="s">
        <v>11</v>
      </c>
      <c r="D10" s="5" t="s">
        <v>111</v>
      </c>
      <c r="E10" s="5" t="s">
        <v>140</v>
      </c>
      <c r="F10" s="5">
        <v>16</v>
      </c>
      <c r="G10" s="5">
        <v>355</v>
      </c>
      <c r="H10" s="5">
        <v>16</v>
      </c>
      <c r="I10" s="5">
        <f t="shared" si="2"/>
        <v>5680</v>
      </c>
      <c r="J10" s="5">
        <f t="shared" si="0"/>
        <v>852</v>
      </c>
      <c r="K10" s="87">
        <f t="shared" si="1"/>
        <v>6532</v>
      </c>
      <c r="L10" s="88"/>
      <c r="M10" s="93"/>
    </row>
    <row r="11" spans="1:13" x14ac:dyDescent="0.3">
      <c r="A11" s="20">
        <v>46084</v>
      </c>
      <c r="B11" s="14">
        <v>161</v>
      </c>
      <c r="C11" s="5" t="s">
        <v>11</v>
      </c>
      <c r="D11" s="5" t="s">
        <v>112</v>
      </c>
      <c r="E11" s="14" t="s">
        <v>55</v>
      </c>
      <c r="F11" s="14">
        <v>500</v>
      </c>
      <c r="G11" s="14">
        <v>170</v>
      </c>
      <c r="H11" s="5">
        <v>500</v>
      </c>
      <c r="I11" s="14">
        <f t="shared" si="2"/>
        <v>85000</v>
      </c>
      <c r="J11" s="5">
        <f t="shared" si="0"/>
        <v>12750</v>
      </c>
      <c r="K11" s="43">
        <f t="shared" si="1"/>
        <v>97750</v>
      </c>
      <c r="L11" s="41"/>
      <c r="M11" s="42"/>
    </row>
    <row r="12" spans="1:13" x14ac:dyDescent="0.3">
      <c r="A12" s="20">
        <v>46085</v>
      </c>
      <c r="B12" s="14">
        <v>162</v>
      </c>
      <c r="C12" s="5" t="s">
        <v>11</v>
      </c>
      <c r="D12" s="5" t="s">
        <v>100</v>
      </c>
      <c r="E12" s="14" t="s">
        <v>83</v>
      </c>
      <c r="F12" s="14">
        <v>403</v>
      </c>
      <c r="G12" s="14">
        <v>325</v>
      </c>
      <c r="H12" s="14">
        <v>403</v>
      </c>
      <c r="I12" s="14">
        <f t="shared" si="2"/>
        <v>130975</v>
      </c>
      <c r="J12" s="5">
        <f t="shared" si="0"/>
        <v>19646.25</v>
      </c>
      <c r="K12" s="17">
        <f t="shared" si="1"/>
        <v>150621.25</v>
      </c>
      <c r="L12" s="18"/>
      <c r="M12" s="19"/>
    </row>
    <row r="13" spans="1:13" x14ac:dyDescent="0.3">
      <c r="A13" s="20">
        <v>46085</v>
      </c>
      <c r="B13" s="14">
        <v>162</v>
      </c>
      <c r="C13" s="5" t="s">
        <v>11</v>
      </c>
      <c r="D13" s="5" t="s">
        <v>100</v>
      </c>
      <c r="E13" s="5" t="s">
        <v>104</v>
      </c>
      <c r="F13" s="14">
        <v>7</v>
      </c>
      <c r="G13" s="14">
        <v>320</v>
      </c>
      <c r="H13" s="14">
        <v>7</v>
      </c>
      <c r="I13" s="14">
        <f t="shared" si="2"/>
        <v>2240</v>
      </c>
      <c r="J13" s="5">
        <f t="shared" si="0"/>
        <v>336</v>
      </c>
      <c r="K13" s="17">
        <f t="shared" si="1"/>
        <v>2576</v>
      </c>
      <c r="L13" s="18"/>
      <c r="M13" s="19"/>
    </row>
    <row r="14" spans="1:13" x14ac:dyDescent="0.3">
      <c r="A14" s="20">
        <v>46085</v>
      </c>
      <c r="B14" s="14">
        <v>162</v>
      </c>
      <c r="C14" s="5" t="s">
        <v>11</v>
      </c>
      <c r="D14" s="5" t="s">
        <v>100</v>
      </c>
      <c r="E14" s="14" t="s">
        <v>169</v>
      </c>
      <c r="F14" s="14">
        <v>400</v>
      </c>
      <c r="G14" s="14">
        <v>325</v>
      </c>
      <c r="H14" s="14">
        <v>400</v>
      </c>
      <c r="I14" s="14">
        <f t="shared" si="2"/>
        <v>130000</v>
      </c>
      <c r="J14" s="5">
        <f t="shared" si="0"/>
        <v>19500</v>
      </c>
      <c r="K14" s="17">
        <f t="shared" si="1"/>
        <v>149500</v>
      </c>
      <c r="L14" s="18"/>
      <c r="M14" s="19"/>
    </row>
    <row r="15" spans="1:13" x14ac:dyDescent="0.3">
      <c r="A15" s="20">
        <v>46085</v>
      </c>
      <c r="B15" s="14">
        <v>162</v>
      </c>
      <c r="C15" s="5" t="s">
        <v>11</v>
      </c>
      <c r="D15" s="5" t="s">
        <v>100</v>
      </c>
      <c r="E15" s="14" t="s">
        <v>137</v>
      </c>
      <c r="F15" s="14">
        <v>50</v>
      </c>
      <c r="G15" s="14">
        <v>97</v>
      </c>
      <c r="H15" s="14">
        <v>50</v>
      </c>
      <c r="I15" s="14">
        <f t="shared" si="2"/>
        <v>4850</v>
      </c>
      <c r="J15" s="5">
        <f t="shared" si="0"/>
        <v>727.5</v>
      </c>
      <c r="K15" s="17">
        <f t="shared" si="1"/>
        <v>5577.5</v>
      </c>
      <c r="L15" s="18"/>
      <c r="M15" s="19"/>
    </row>
    <row r="16" spans="1:13" x14ac:dyDescent="0.3">
      <c r="A16" s="20">
        <v>46085</v>
      </c>
      <c r="B16" s="14">
        <v>163</v>
      </c>
      <c r="C16" s="5" t="s">
        <v>11</v>
      </c>
      <c r="D16" s="14" t="s">
        <v>68</v>
      </c>
      <c r="E16" s="14" t="s">
        <v>91</v>
      </c>
      <c r="F16" s="14">
        <v>1100</v>
      </c>
      <c r="G16" s="14">
        <v>18.25</v>
      </c>
      <c r="H16" s="14">
        <v>18008.48</v>
      </c>
      <c r="I16" s="14">
        <f t="shared" si="2"/>
        <v>328654.76</v>
      </c>
      <c r="J16" s="5">
        <f t="shared" si="0"/>
        <v>49298.214</v>
      </c>
      <c r="K16" s="17">
        <f t="shared" si="1"/>
        <v>377952.97399999999</v>
      </c>
      <c r="L16" s="18"/>
      <c r="M16" s="19"/>
    </row>
    <row r="17" spans="1:13" x14ac:dyDescent="0.3">
      <c r="A17" s="94">
        <v>46085</v>
      </c>
      <c r="B17" s="95" t="s">
        <v>188</v>
      </c>
      <c r="C17" s="96" t="s">
        <v>11</v>
      </c>
      <c r="D17" s="95" t="s">
        <v>112</v>
      </c>
      <c r="E17" s="95"/>
      <c r="F17" s="95"/>
      <c r="G17" s="95"/>
      <c r="H17" s="95"/>
      <c r="I17" s="95">
        <f t="shared" si="2"/>
        <v>0</v>
      </c>
      <c r="J17" s="96">
        <f t="shared" si="0"/>
        <v>0</v>
      </c>
      <c r="K17" s="74">
        <f t="shared" si="1"/>
        <v>0</v>
      </c>
      <c r="L17" s="75"/>
      <c r="M17" s="97"/>
    </row>
    <row r="18" spans="1:13" x14ac:dyDescent="0.3">
      <c r="A18" s="20">
        <v>46085</v>
      </c>
      <c r="B18" s="14">
        <v>164</v>
      </c>
      <c r="C18" s="5" t="s">
        <v>11</v>
      </c>
      <c r="D18" s="14" t="s">
        <v>185</v>
      </c>
      <c r="E18" s="14" t="s">
        <v>21</v>
      </c>
      <c r="F18" s="14">
        <v>8</v>
      </c>
      <c r="G18" s="14">
        <v>420</v>
      </c>
      <c r="H18" s="14">
        <v>8</v>
      </c>
      <c r="I18" s="14">
        <f t="shared" si="2"/>
        <v>3360</v>
      </c>
      <c r="J18" s="5">
        <f t="shared" si="0"/>
        <v>504</v>
      </c>
      <c r="K18" s="40">
        <f t="shared" si="1"/>
        <v>3864</v>
      </c>
      <c r="L18" s="41"/>
      <c r="M18" s="42"/>
    </row>
    <row r="19" spans="1:13" x14ac:dyDescent="0.3">
      <c r="A19" s="20">
        <v>46088</v>
      </c>
      <c r="B19" s="14">
        <v>165</v>
      </c>
      <c r="C19" s="5" t="s">
        <v>11</v>
      </c>
      <c r="D19" s="14" t="s">
        <v>46</v>
      </c>
      <c r="E19" s="14" t="s">
        <v>183</v>
      </c>
      <c r="F19" s="14">
        <v>11</v>
      </c>
      <c r="G19" s="14">
        <v>693</v>
      </c>
      <c r="H19" s="14">
        <v>11</v>
      </c>
      <c r="I19" s="14">
        <f t="shared" si="2"/>
        <v>7623</v>
      </c>
      <c r="J19" s="5">
        <f t="shared" si="0"/>
        <v>1143.45</v>
      </c>
      <c r="K19" s="17">
        <f t="shared" si="1"/>
        <v>8766.4500000000007</v>
      </c>
      <c r="L19" s="18"/>
      <c r="M19" s="19"/>
    </row>
    <row r="20" spans="1:13" x14ac:dyDescent="0.3">
      <c r="A20" s="20">
        <v>46088</v>
      </c>
      <c r="B20" s="14">
        <v>166</v>
      </c>
      <c r="C20" s="5" t="s">
        <v>11</v>
      </c>
      <c r="D20" s="14" t="s">
        <v>112</v>
      </c>
      <c r="E20" s="14" t="s">
        <v>55</v>
      </c>
      <c r="F20" s="14">
        <v>515</v>
      </c>
      <c r="G20" s="14">
        <v>182</v>
      </c>
      <c r="H20" s="14">
        <v>515</v>
      </c>
      <c r="I20" s="14">
        <f t="shared" si="2"/>
        <v>93730</v>
      </c>
      <c r="J20" s="5">
        <f t="shared" si="0"/>
        <v>14059.5</v>
      </c>
      <c r="K20" s="40">
        <f t="shared" si="1"/>
        <v>107789.5</v>
      </c>
      <c r="L20" s="41"/>
      <c r="M20" s="42"/>
    </row>
    <row r="21" spans="1:13" x14ac:dyDescent="0.3">
      <c r="A21" s="20">
        <v>46089</v>
      </c>
      <c r="B21" s="14">
        <v>167</v>
      </c>
      <c r="C21" s="5" t="s">
        <v>11</v>
      </c>
      <c r="D21" s="14" t="s">
        <v>191</v>
      </c>
      <c r="E21" s="14" t="s">
        <v>169</v>
      </c>
      <c r="F21" s="15">
        <v>525</v>
      </c>
      <c r="G21" s="14">
        <v>330</v>
      </c>
      <c r="H21" s="14">
        <v>525</v>
      </c>
      <c r="I21" s="14">
        <f t="shared" si="2"/>
        <v>173250</v>
      </c>
      <c r="J21" s="6">
        <f t="shared" si="0"/>
        <v>25987.5</v>
      </c>
      <c r="K21" s="43">
        <f t="shared" si="1"/>
        <v>199237.5</v>
      </c>
      <c r="L21" s="44"/>
      <c r="M21" s="19"/>
    </row>
    <row r="22" spans="1:13" x14ac:dyDescent="0.3">
      <c r="A22" s="20">
        <v>46089</v>
      </c>
      <c r="B22" s="14">
        <v>167</v>
      </c>
      <c r="C22" s="5" t="s">
        <v>11</v>
      </c>
      <c r="D22" s="14" t="s">
        <v>191</v>
      </c>
      <c r="E22" s="5" t="s">
        <v>192</v>
      </c>
      <c r="F22" s="6">
        <v>99</v>
      </c>
      <c r="G22" s="6">
        <v>400</v>
      </c>
      <c r="H22" s="6">
        <v>99</v>
      </c>
      <c r="I22" s="14">
        <f>H22*G22</f>
        <v>39600</v>
      </c>
      <c r="J22" s="6">
        <f t="shared" si="0"/>
        <v>5940</v>
      </c>
      <c r="K22" s="43">
        <f t="shared" si="1"/>
        <v>45540</v>
      </c>
      <c r="L22" s="44"/>
      <c r="M22" s="19"/>
    </row>
    <row r="23" spans="1:13" x14ac:dyDescent="0.3">
      <c r="A23" s="20">
        <v>46089</v>
      </c>
      <c r="B23" s="14">
        <v>167</v>
      </c>
      <c r="C23" s="5" t="s">
        <v>11</v>
      </c>
      <c r="D23" s="14" t="s">
        <v>191</v>
      </c>
      <c r="E23" s="5" t="s">
        <v>81</v>
      </c>
      <c r="F23" s="6">
        <v>200</v>
      </c>
      <c r="G23" s="6">
        <v>370</v>
      </c>
      <c r="H23" s="6">
        <v>200</v>
      </c>
      <c r="I23" s="14">
        <f>H23*G23</f>
        <v>74000</v>
      </c>
      <c r="J23" s="6">
        <f t="shared" si="0"/>
        <v>11100</v>
      </c>
      <c r="K23" s="43">
        <f t="shared" si="1"/>
        <v>85100</v>
      </c>
      <c r="L23" s="44"/>
      <c r="M23" s="19"/>
    </row>
    <row r="24" spans="1:13" x14ac:dyDescent="0.3">
      <c r="A24" s="20">
        <v>46089</v>
      </c>
      <c r="B24" s="14">
        <v>167</v>
      </c>
      <c r="C24" s="5" t="s">
        <v>11</v>
      </c>
      <c r="D24" s="14" t="s">
        <v>191</v>
      </c>
      <c r="E24" s="14" t="s">
        <v>98</v>
      </c>
      <c r="F24" s="6">
        <v>209</v>
      </c>
      <c r="G24" s="6">
        <v>370</v>
      </c>
      <c r="H24" s="15">
        <v>209</v>
      </c>
      <c r="I24" s="14">
        <f t="shared" si="2"/>
        <v>77330</v>
      </c>
      <c r="J24" s="6">
        <f t="shared" si="0"/>
        <v>11599.5</v>
      </c>
      <c r="K24" s="43">
        <f t="shared" si="1"/>
        <v>88929.5</v>
      </c>
      <c r="L24" s="44"/>
    </row>
    <row r="25" spans="1:13" x14ac:dyDescent="0.3">
      <c r="A25" s="20">
        <v>46090</v>
      </c>
      <c r="B25" s="5">
        <v>168</v>
      </c>
      <c r="C25" s="5" t="s">
        <v>11</v>
      </c>
      <c r="D25" s="5" t="s">
        <v>193</v>
      </c>
      <c r="E25" s="14" t="s">
        <v>167</v>
      </c>
      <c r="F25" s="6">
        <v>50</v>
      </c>
      <c r="G25" s="6">
        <v>365</v>
      </c>
      <c r="H25" s="15">
        <v>50</v>
      </c>
      <c r="I25" s="14">
        <f t="shared" si="2"/>
        <v>18250</v>
      </c>
      <c r="J25" s="6">
        <f t="shared" si="0"/>
        <v>2737.5</v>
      </c>
      <c r="K25" s="9">
        <f t="shared" si="1"/>
        <v>20987.5</v>
      </c>
      <c r="L25" s="10"/>
      <c r="M25" s="19"/>
    </row>
    <row r="26" spans="1:13" x14ac:dyDescent="0.3">
      <c r="A26" s="20">
        <v>46090</v>
      </c>
      <c r="B26" s="5">
        <v>168</v>
      </c>
      <c r="C26" s="5" t="s">
        <v>11</v>
      </c>
      <c r="D26" s="5" t="s">
        <v>193</v>
      </c>
      <c r="E26" s="14" t="s">
        <v>140</v>
      </c>
      <c r="F26" s="6">
        <v>50</v>
      </c>
      <c r="G26" s="6">
        <v>365</v>
      </c>
      <c r="H26" s="15">
        <v>50</v>
      </c>
      <c r="I26" s="14">
        <f t="shared" si="2"/>
        <v>18250</v>
      </c>
      <c r="J26" s="6">
        <f t="shared" si="0"/>
        <v>2737.5</v>
      </c>
      <c r="K26" s="9">
        <f t="shared" si="1"/>
        <v>20987.5</v>
      </c>
      <c r="L26" s="10"/>
      <c r="M26" s="19"/>
    </row>
    <row r="27" spans="1:13" x14ac:dyDescent="0.3">
      <c r="A27" s="20">
        <v>46090</v>
      </c>
      <c r="B27" s="5">
        <v>168</v>
      </c>
      <c r="C27" s="5" t="s">
        <v>11</v>
      </c>
      <c r="D27" s="5" t="s">
        <v>193</v>
      </c>
      <c r="E27" s="5" t="s">
        <v>175</v>
      </c>
      <c r="F27" s="6">
        <v>25</v>
      </c>
      <c r="G27" s="6">
        <v>310</v>
      </c>
      <c r="H27" s="15">
        <v>25</v>
      </c>
      <c r="I27" s="6">
        <f t="shared" si="2"/>
        <v>7750</v>
      </c>
      <c r="J27" s="6">
        <f t="shared" si="0"/>
        <v>1162.5</v>
      </c>
      <c r="K27" s="9">
        <f t="shared" si="1"/>
        <v>8912.5</v>
      </c>
      <c r="L27" s="10"/>
      <c r="M27" s="19"/>
    </row>
    <row r="28" spans="1:13" x14ac:dyDescent="0.3">
      <c r="A28" s="20">
        <v>46090</v>
      </c>
      <c r="B28" s="5">
        <v>169</v>
      </c>
      <c r="C28" s="5" t="s">
        <v>11</v>
      </c>
      <c r="D28" s="5" t="s">
        <v>116</v>
      </c>
      <c r="E28" s="5" t="s">
        <v>73</v>
      </c>
      <c r="F28" s="6">
        <v>30</v>
      </c>
      <c r="G28" s="6">
        <v>405</v>
      </c>
      <c r="H28" s="6">
        <v>30</v>
      </c>
      <c r="I28" s="6">
        <f t="shared" si="2"/>
        <v>12150</v>
      </c>
      <c r="J28" s="6">
        <f t="shared" si="0"/>
        <v>1822.5</v>
      </c>
      <c r="K28" s="9">
        <f t="shared" si="1"/>
        <v>13972.5</v>
      </c>
      <c r="L28" s="10"/>
      <c r="M28" s="19"/>
    </row>
    <row r="29" spans="1:13" x14ac:dyDescent="0.3">
      <c r="A29" s="20">
        <v>46091</v>
      </c>
      <c r="B29" s="5">
        <v>170</v>
      </c>
      <c r="C29" s="5" t="s">
        <v>11</v>
      </c>
      <c r="D29" s="14" t="s">
        <v>54</v>
      </c>
      <c r="E29" s="14" t="s">
        <v>126</v>
      </c>
      <c r="F29" s="6">
        <v>150</v>
      </c>
      <c r="G29" s="6">
        <v>335</v>
      </c>
      <c r="H29" s="15">
        <v>150</v>
      </c>
      <c r="I29" s="6">
        <f t="shared" si="2"/>
        <v>50250</v>
      </c>
      <c r="J29" s="6">
        <f t="shared" si="0"/>
        <v>7537.5</v>
      </c>
      <c r="K29" s="9">
        <f t="shared" si="1"/>
        <v>57787.5</v>
      </c>
      <c r="L29" s="10"/>
    </row>
    <row r="30" spans="1:13" x14ac:dyDescent="0.3">
      <c r="A30" s="20">
        <v>46091</v>
      </c>
      <c r="B30" s="5">
        <v>171</v>
      </c>
      <c r="C30" s="5" t="s">
        <v>11</v>
      </c>
      <c r="D30" s="5" t="s">
        <v>100</v>
      </c>
      <c r="E30" s="5" t="s">
        <v>24</v>
      </c>
      <c r="F30" s="6">
        <v>1000</v>
      </c>
      <c r="G30" s="6">
        <v>185</v>
      </c>
      <c r="H30" s="15">
        <v>1000</v>
      </c>
      <c r="I30" s="6">
        <f t="shared" si="2"/>
        <v>185000</v>
      </c>
      <c r="J30" s="6">
        <f t="shared" si="0"/>
        <v>27750</v>
      </c>
      <c r="K30" s="43">
        <f t="shared" si="1"/>
        <v>212750</v>
      </c>
      <c r="L30" s="44"/>
    </row>
    <row r="31" spans="1:13" x14ac:dyDescent="0.3">
      <c r="A31" s="20">
        <v>46091</v>
      </c>
      <c r="B31" s="5">
        <v>172</v>
      </c>
      <c r="C31" s="5" t="s">
        <v>11</v>
      </c>
      <c r="D31" s="5" t="s">
        <v>19</v>
      </c>
      <c r="E31" s="5" t="s">
        <v>118</v>
      </c>
      <c r="F31" s="6">
        <v>110</v>
      </c>
      <c r="G31" s="6">
        <v>87</v>
      </c>
      <c r="H31" s="15">
        <v>110</v>
      </c>
      <c r="I31" s="6">
        <f t="shared" si="2"/>
        <v>9570</v>
      </c>
      <c r="J31" s="6">
        <f t="shared" si="0"/>
        <v>1435.5</v>
      </c>
      <c r="K31" s="43">
        <f t="shared" si="1"/>
        <v>11005.5</v>
      </c>
      <c r="L31" s="44"/>
      <c r="M31" s="46"/>
    </row>
    <row r="32" spans="1:13" x14ac:dyDescent="0.3">
      <c r="A32" s="20">
        <v>46092</v>
      </c>
      <c r="B32" s="5">
        <v>173</v>
      </c>
      <c r="C32" s="5" t="s">
        <v>11</v>
      </c>
      <c r="D32" s="5" t="s">
        <v>112</v>
      </c>
      <c r="E32" s="5" t="s">
        <v>24</v>
      </c>
      <c r="F32" s="6">
        <v>500</v>
      </c>
      <c r="G32" s="6">
        <v>182</v>
      </c>
      <c r="H32" s="15">
        <v>500</v>
      </c>
      <c r="I32" s="6">
        <f t="shared" si="2"/>
        <v>91000</v>
      </c>
      <c r="J32" s="6">
        <f t="shared" si="0"/>
        <v>13650</v>
      </c>
      <c r="K32" s="9">
        <f t="shared" si="1"/>
        <v>104650</v>
      </c>
      <c r="L32" s="10"/>
    </row>
    <row r="33" spans="1:14" x14ac:dyDescent="0.3">
      <c r="A33" s="20">
        <v>46092</v>
      </c>
      <c r="B33" s="5">
        <v>174</v>
      </c>
      <c r="C33" s="5" t="s">
        <v>11</v>
      </c>
      <c r="D33" s="5" t="s">
        <v>19</v>
      </c>
      <c r="E33" s="5" t="s">
        <v>195</v>
      </c>
      <c r="F33" s="6">
        <v>15</v>
      </c>
      <c r="G33" s="6">
        <v>882</v>
      </c>
      <c r="H33" s="15">
        <v>15</v>
      </c>
      <c r="I33" s="6">
        <f t="shared" si="2"/>
        <v>13230</v>
      </c>
      <c r="J33" s="6">
        <f t="shared" si="0"/>
        <v>1984.5</v>
      </c>
      <c r="K33" s="9">
        <f t="shared" si="1"/>
        <v>15214.5</v>
      </c>
      <c r="L33" s="84"/>
    </row>
    <row r="34" spans="1:14" x14ac:dyDescent="0.3">
      <c r="A34" s="78">
        <v>46093</v>
      </c>
      <c r="B34" s="79">
        <v>9</v>
      </c>
      <c r="C34" s="79" t="s">
        <v>11</v>
      </c>
      <c r="D34" s="79" t="s">
        <v>19</v>
      </c>
      <c r="E34" s="79" t="s">
        <v>195</v>
      </c>
      <c r="F34" s="81">
        <v>-15</v>
      </c>
      <c r="G34" s="81">
        <v>882</v>
      </c>
      <c r="H34" s="110">
        <v>-15</v>
      </c>
      <c r="I34" s="81">
        <f t="shared" si="2"/>
        <v>-13230</v>
      </c>
      <c r="J34" s="81">
        <f t="shared" si="0"/>
        <v>-1984.5</v>
      </c>
      <c r="K34" s="83">
        <f t="shared" si="1"/>
        <v>-15214.5</v>
      </c>
      <c r="L34" s="84"/>
    </row>
    <row r="35" spans="1:14" x14ac:dyDescent="0.3">
      <c r="A35" s="20">
        <v>46092</v>
      </c>
      <c r="B35" s="5">
        <v>175</v>
      </c>
      <c r="C35" s="5" t="s">
        <v>11</v>
      </c>
      <c r="D35" s="5" t="s">
        <v>85</v>
      </c>
      <c r="E35" s="5" t="s">
        <v>118</v>
      </c>
      <c r="F35" s="6">
        <v>1500</v>
      </c>
      <c r="G35" s="6">
        <v>87</v>
      </c>
      <c r="H35" s="15">
        <v>1500</v>
      </c>
      <c r="I35" s="6">
        <f t="shared" si="2"/>
        <v>130500</v>
      </c>
      <c r="J35" s="6">
        <f t="shared" si="0"/>
        <v>19575</v>
      </c>
      <c r="K35" s="51">
        <f t="shared" si="1"/>
        <v>150075</v>
      </c>
      <c r="L35" s="52"/>
    </row>
    <row r="36" spans="1:14" x14ac:dyDescent="0.3">
      <c r="A36" s="20">
        <v>46094</v>
      </c>
      <c r="B36" s="5">
        <v>176</v>
      </c>
      <c r="C36" s="5" t="s">
        <v>11</v>
      </c>
      <c r="D36" s="5" t="s">
        <v>197</v>
      </c>
      <c r="E36" s="14" t="s">
        <v>53</v>
      </c>
      <c r="F36" s="6">
        <v>20</v>
      </c>
      <c r="G36" s="6">
        <v>57</v>
      </c>
      <c r="H36" s="6">
        <v>296.8</v>
      </c>
      <c r="I36" s="6">
        <f t="shared" si="2"/>
        <v>16917.600000000002</v>
      </c>
      <c r="J36" s="6">
        <f t="shared" si="0"/>
        <v>2537.6400000000003</v>
      </c>
      <c r="K36" s="9">
        <f t="shared" si="1"/>
        <v>19455.240000000002</v>
      </c>
      <c r="L36" s="10"/>
    </row>
    <row r="37" spans="1:14" x14ac:dyDescent="0.3">
      <c r="A37" s="20">
        <v>46095</v>
      </c>
      <c r="B37" s="5">
        <v>177</v>
      </c>
      <c r="C37" s="5" t="s">
        <v>11</v>
      </c>
      <c r="D37" s="5" t="s">
        <v>191</v>
      </c>
      <c r="E37" s="5" t="s">
        <v>126</v>
      </c>
      <c r="F37" s="6">
        <v>601</v>
      </c>
      <c r="G37" s="6">
        <v>334.5</v>
      </c>
      <c r="H37" s="6">
        <v>601</v>
      </c>
      <c r="I37" s="6">
        <f t="shared" si="2"/>
        <v>201034.5</v>
      </c>
      <c r="J37" s="6">
        <f t="shared" si="0"/>
        <v>30155.174999999999</v>
      </c>
      <c r="K37" s="9">
        <f t="shared" si="1"/>
        <v>231189.67499999999</v>
      </c>
      <c r="L37" s="10"/>
    </row>
    <row r="38" spans="1:14" x14ac:dyDescent="0.3">
      <c r="A38" s="20">
        <v>46095</v>
      </c>
      <c r="B38" s="5">
        <v>177</v>
      </c>
      <c r="C38" s="5" t="s">
        <v>11</v>
      </c>
      <c r="D38" s="5" t="s">
        <v>191</v>
      </c>
      <c r="E38" s="14" t="s">
        <v>81</v>
      </c>
      <c r="F38" s="6">
        <v>569</v>
      </c>
      <c r="G38" s="6">
        <v>371.5</v>
      </c>
      <c r="H38" s="6">
        <v>569</v>
      </c>
      <c r="I38" s="6">
        <f t="shared" si="2"/>
        <v>211383.5</v>
      </c>
      <c r="J38" s="6">
        <f t="shared" si="0"/>
        <v>31707.524999999998</v>
      </c>
      <c r="K38" s="9">
        <f t="shared" si="1"/>
        <v>243091.02499999999</v>
      </c>
      <c r="L38" s="10"/>
    </row>
    <row r="39" spans="1:14" x14ac:dyDescent="0.3">
      <c r="A39" s="20">
        <v>46095</v>
      </c>
      <c r="B39" s="5">
        <v>177</v>
      </c>
      <c r="C39" s="5" t="s">
        <v>11</v>
      </c>
      <c r="D39" s="5" t="s">
        <v>191</v>
      </c>
      <c r="E39" s="5" t="s">
        <v>48</v>
      </c>
      <c r="F39" s="6">
        <v>29</v>
      </c>
      <c r="G39" s="6">
        <v>811.5</v>
      </c>
      <c r="H39" s="6">
        <v>29</v>
      </c>
      <c r="I39" s="6">
        <f t="shared" si="2"/>
        <v>23533.5</v>
      </c>
      <c r="J39" s="6">
        <f t="shared" si="0"/>
        <v>3530.0250000000001</v>
      </c>
      <c r="K39" s="9">
        <f t="shared" si="1"/>
        <v>27063.525000000001</v>
      </c>
      <c r="L39" s="10"/>
    </row>
    <row r="40" spans="1:14" x14ac:dyDescent="0.3">
      <c r="A40" s="20">
        <v>46095</v>
      </c>
      <c r="B40" s="5">
        <v>177</v>
      </c>
      <c r="C40" s="5" t="s">
        <v>11</v>
      </c>
      <c r="D40" s="5" t="s">
        <v>191</v>
      </c>
      <c r="E40" s="5" t="s">
        <v>64</v>
      </c>
      <c r="F40" s="6">
        <v>100</v>
      </c>
      <c r="G40" s="6">
        <v>401.5</v>
      </c>
      <c r="H40" s="6">
        <v>100</v>
      </c>
      <c r="I40" s="6">
        <f t="shared" si="2"/>
        <v>40150</v>
      </c>
      <c r="J40" s="6">
        <f t="shared" si="0"/>
        <v>6022.5</v>
      </c>
      <c r="K40" s="9">
        <f t="shared" si="1"/>
        <v>46172.5</v>
      </c>
      <c r="L40" s="10"/>
      <c r="M40" s="19"/>
    </row>
    <row r="41" spans="1:14" x14ac:dyDescent="0.3">
      <c r="A41" s="20">
        <v>46095</v>
      </c>
      <c r="B41" s="5">
        <v>177</v>
      </c>
      <c r="C41" s="5" t="s">
        <v>11</v>
      </c>
      <c r="D41" s="5" t="s">
        <v>191</v>
      </c>
      <c r="E41" s="5" t="s">
        <v>73</v>
      </c>
      <c r="F41" s="6">
        <v>100</v>
      </c>
      <c r="G41" s="6">
        <v>401.5</v>
      </c>
      <c r="H41" s="6">
        <v>100</v>
      </c>
      <c r="I41" s="6">
        <f t="shared" si="2"/>
        <v>40150</v>
      </c>
      <c r="J41" s="6">
        <f t="shared" si="0"/>
        <v>6022.5</v>
      </c>
      <c r="K41" s="9">
        <f t="shared" si="1"/>
        <v>46172.5</v>
      </c>
      <c r="L41" s="10"/>
      <c r="M41" s="19"/>
    </row>
    <row r="42" spans="1:14" x14ac:dyDescent="0.3">
      <c r="A42" s="20">
        <v>46095</v>
      </c>
      <c r="B42" s="5">
        <v>178</v>
      </c>
      <c r="C42" s="5" t="s">
        <v>11</v>
      </c>
      <c r="D42" s="14" t="s">
        <v>198</v>
      </c>
      <c r="E42" s="14" t="s">
        <v>175</v>
      </c>
      <c r="F42" s="6">
        <v>30</v>
      </c>
      <c r="G42" s="6">
        <v>315</v>
      </c>
      <c r="H42" s="6">
        <v>30</v>
      </c>
      <c r="I42" s="6">
        <f t="shared" si="2"/>
        <v>9450</v>
      </c>
      <c r="J42" s="6">
        <f t="shared" si="0"/>
        <v>1417.5</v>
      </c>
      <c r="K42" s="9">
        <f t="shared" si="1"/>
        <v>10867.5</v>
      </c>
      <c r="L42" s="10"/>
      <c r="M42" s="19"/>
    </row>
    <row r="43" spans="1:14" x14ac:dyDescent="0.3">
      <c r="A43" s="20">
        <v>46095</v>
      </c>
      <c r="B43" s="5">
        <v>179</v>
      </c>
      <c r="C43" s="5" t="s">
        <v>11</v>
      </c>
      <c r="D43" s="5" t="s">
        <v>46</v>
      </c>
      <c r="E43" s="5" t="s">
        <v>195</v>
      </c>
      <c r="F43" s="6">
        <v>30</v>
      </c>
      <c r="G43" s="6">
        <v>900</v>
      </c>
      <c r="H43" s="6">
        <v>30</v>
      </c>
      <c r="I43" s="6">
        <f t="shared" si="2"/>
        <v>27000</v>
      </c>
      <c r="J43" s="6">
        <f t="shared" si="0"/>
        <v>4050</v>
      </c>
      <c r="K43" s="9">
        <f t="shared" si="1"/>
        <v>31050</v>
      </c>
      <c r="L43" s="10"/>
      <c r="M43" s="19"/>
      <c r="N43" s="77"/>
    </row>
    <row r="44" spans="1:14" x14ac:dyDescent="0.3">
      <c r="A44" s="78">
        <v>46105</v>
      </c>
      <c r="B44" s="79">
        <v>10</v>
      </c>
      <c r="C44" s="79" t="s">
        <v>146</v>
      </c>
      <c r="D44" s="79" t="s">
        <v>46</v>
      </c>
      <c r="E44" s="79" t="s">
        <v>195</v>
      </c>
      <c r="F44" s="81">
        <v>-30</v>
      </c>
      <c r="G44" s="81">
        <v>900</v>
      </c>
      <c r="H44" s="81">
        <v>-30</v>
      </c>
      <c r="I44" s="81">
        <f t="shared" si="2"/>
        <v>-27000</v>
      </c>
      <c r="J44" s="81">
        <f t="shared" si="0"/>
        <v>-4050</v>
      </c>
      <c r="K44" s="83">
        <f t="shared" si="1"/>
        <v>-31050</v>
      </c>
      <c r="L44" s="84"/>
      <c r="M44" s="19"/>
      <c r="N44" s="77"/>
    </row>
    <row r="45" spans="1:14" x14ac:dyDescent="0.3">
      <c r="A45" s="20">
        <v>46095</v>
      </c>
      <c r="B45" s="5">
        <v>180</v>
      </c>
      <c r="C45" s="5" t="s">
        <v>11</v>
      </c>
      <c r="D45" s="14" t="s">
        <v>199</v>
      </c>
      <c r="E45" s="14" t="s">
        <v>53</v>
      </c>
      <c r="F45" s="6">
        <v>2</v>
      </c>
      <c r="G45" s="6">
        <v>57</v>
      </c>
      <c r="H45" s="6">
        <v>59.68</v>
      </c>
      <c r="I45" s="6">
        <f t="shared" si="2"/>
        <v>3401.7599999999998</v>
      </c>
      <c r="J45" s="6">
        <f t="shared" si="0"/>
        <v>510.26399999999995</v>
      </c>
      <c r="K45" s="9">
        <f t="shared" si="1"/>
        <v>3912.0239999999999</v>
      </c>
      <c r="L45" s="10"/>
      <c r="M45" s="19"/>
    </row>
    <row r="46" spans="1:14" x14ac:dyDescent="0.3">
      <c r="A46" s="20">
        <v>46095</v>
      </c>
      <c r="B46" s="5">
        <v>180</v>
      </c>
      <c r="C46" s="5" t="s">
        <v>11</v>
      </c>
      <c r="D46" s="14" t="s">
        <v>199</v>
      </c>
      <c r="E46" s="5" t="s">
        <v>200</v>
      </c>
      <c r="F46" s="6">
        <v>16</v>
      </c>
      <c r="G46" s="6">
        <v>57.5</v>
      </c>
      <c r="H46" s="6">
        <v>177.33</v>
      </c>
      <c r="I46" s="6">
        <f t="shared" si="2"/>
        <v>10196.475</v>
      </c>
      <c r="J46" s="6">
        <f t="shared" si="0"/>
        <v>1529.4712500000001</v>
      </c>
      <c r="K46" s="9">
        <f t="shared" si="1"/>
        <v>11725.946250000001</v>
      </c>
      <c r="L46" s="10"/>
      <c r="M46" s="19"/>
    </row>
    <row r="47" spans="1:14" x14ac:dyDescent="0.3">
      <c r="A47" s="20">
        <v>46096</v>
      </c>
      <c r="B47" s="5">
        <v>181</v>
      </c>
      <c r="C47" s="5" t="s">
        <v>11</v>
      </c>
      <c r="D47" s="14" t="s">
        <v>198</v>
      </c>
      <c r="E47" s="5" t="s">
        <v>175</v>
      </c>
      <c r="F47" s="6">
        <v>100</v>
      </c>
      <c r="G47" s="6">
        <v>318</v>
      </c>
      <c r="H47" s="6">
        <v>100</v>
      </c>
      <c r="I47" s="6">
        <f t="shared" si="2"/>
        <v>31800</v>
      </c>
      <c r="J47" s="6">
        <f t="shared" si="0"/>
        <v>4770</v>
      </c>
      <c r="K47" s="9">
        <f t="shared" si="1"/>
        <v>36570</v>
      </c>
      <c r="L47" s="10"/>
      <c r="M47" s="19"/>
    </row>
    <row r="48" spans="1:14" x14ac:dyDescent="0.3">
      <c r="A48" s="20">
        <v>46097</v>
      </c>
      <c r="B48" s="5">
        <v>182</v>
      </c>
      <c r="C48" s="5" t="s">
        <v>11</v>
      </c>
      <c r="D48" s="5" t="s">
        <v>54</v>
      </c>
      <c r="E48" s="5" t="s">
        <v>140</v>
      </c>
      <c r="F48" s="6">
        <v>144</v>
      </c>
      <c r="G48" s="6">
        <v>365</v>
      </c>
      <c r="H48" s="6">
        <v>144</v>
      </c>
      <c r="I48" s="6">
        <f t="shared" si="2"/>
        <v>52560</v>
      </c>
      <c r="J48" s="6">
        <f t="shared" si="0"/>
        <v>7884</v>
      </c>
      <c r="K48" s="9">
        <f t="shared" si="1"/>
        <v>60444</v>
      </c>
      <c r="L48" s="10"/>
      <c r="M48" s="19"/>
    </row>
    <row r="49" spans="1:13" x14ac:dyDescent="0.3">
      <c r="A49" s="20">
        <v>46105</v>
      </c>
      <c r="B49" s="5">
        <v>183</v>
      </c>
      <c r="C49" s="5" t="s">
        <v>11</v>
      </c>
      <c r="D49" s="5" t="s">
        <v>112</v>
      </c>
      <c r="E49" s="5" t="s">
        <v>24</v>
      </c>
      <c r="F49" s="6">
        <v>500</v>
      </c>
      <c r="G49" s="6">
        <v>182</v>
      </c>
      <c r="H49" s="6">
        <v>500</v>
      </c>
      <c r="I49" s="6">
        <f t="shared" si="2"/>
        <v>91000</v>
      </c>
      <c r="J49" s="6">
        <f t="shared" si="0"/>
        <v>13650</v>
      </c>
      <c r="K49" s="43">
        <f t="shared" si="1"/>
        <v>104650</v>
      </c>
      <c r="L49" s="44"/>
      <c r="M49" s="46"/>
    </row>
    <row r="50" spans="1:13" x14ac:dyDescent="0.3">
      <c r="A50" s="20">
        <v>46105</v>
      </c>
      <c r="B50" s="5">
        <v>184</v>
      </c>
      <c r="C50" s="5" t="s">
        <v>11</v>
      </c>
      <c r="D50" s="5" t="s">
        <v>191</v>
      </c>
      <c r="E50" s="5" t="s">
        <v>175</v>
      </c>
      <c r="F50" s="6">
        <v>998</v>
      </c>
      <c r="G50" s="6">
        <v>325</v>
      </c>
      <c r="H50" s="6">
        <v>998</v>
      </c>
      <c r="I50" s="6">
        <f t="shared" si="2"/>
        <v>324350</v>
      </c>
      <c r="J50" s="6">
        <f t="shared" si="0"/>
        <v>48652.5</v>
      </c>
      <c r="K50" s="9">
        <f t="shared" si="1"/>
        <v>373002.5</v>
      </c>
      <c r="L50" s="10"/>
      <c r="M50" s="19"/>
    </row>
    <row r="51" spans="1:13" x14ac:dyDescent="0.3">
      <c r="A51" s="20">
        <v>46105</v>
      </c>
      <c r="B51" s="5">
        <v>185</v>
      </c>
      <c r="C51" s="5" t="s">
        <v>11</v>
      </c>
      <c r="D51" s="14" t="s">
        <v>197</v>
      </c>
      <c r="E51" s="14" t="s">
        <v>203</v>
      </c>
      <c r="F51" s="6">
        <v>25</v>
      </c>
      <c r="G51" s="6">
        <v>33</v>
      </c>
      <c r="H51" s="37">
        <v>483.85</v>
      </c>
      <c r="I51" s="6">
        <f t="shared" si="2"/>
        <v>15967.050000000001</v>
      </c>
      <c r="J51" s="6">
        <f t="shared" si="0"/>
        <v>2395.0574999999999</v>
      </c>
      <c r="K51" s="9">
        <f t="shared" si="1"/>
        <v>18362.107500000002</v>
      </c>
      <c r="L51" s="10"/>
      <c r="M51" s="19"/>
    </row>
    <row r="52" spans="1:13" x14ac:dyDescent="0.3">
      <c r="A52" s="20">
        <v>46105</v>
      </c>
      <c r="B52" s="5">
        <v>186</v>
      </c>
      <c r="C52" s="5" t="s">
        <v>11</v>
      </c>
      <c r="D52" s="14" t="s">
        <v>122</v>
      </c>
      <c r="E52" s="5" t="s">
        <v>212</v>
      </c>
      <c r="F52" s="6">
        <v>30</v>
      </c>
      <c r="G52" s="6">
        <v>390</v>
      </c>
      <c r="H52" s="89">
        <v>30</v>
      </c>
      <c r="I52" s="6">
        <f t="shared" si="2"/>
        <v>11700</v>
      </c>
      <c r="J52" s="6">
        <f t="shared" si="0"/>
        <v>1755</v>
      </c>
      <c r="K52" s="9">
        <f t="shared" si="1"/>
        <v>13455</v>
      </c>
      <c r="L52" s="10"/>
      <c r="M52" s="19"/>
    </row>
    <row r="53" spans="1:13" x14ac:dyDescent="0.3">
      <c r="A53" s="94">
        <v>46105</v>
      </c>
      <c r="B53" s="96"/>
      <c r="C53" s="96" t="s">
        <v>188</v>
      </c>
      <c r="D53" s="96" t="s">
        <v>134</v>
      </c>
      <c r="E53" s="96"/>
      <c r="F53" s="113"/>
      <c r="G53" s="113"/>
      <c r="H53" s="113"/>
      <c r="I53" s="113">
        <f t="shared" si="2"/>
        <v>0</v>
      </c>
      <c r="J53" s="113">
        <f t="shared" si="0"/>
        <v>0</v>
      </c>
      <c r="K53" s="72">
        <f t="shared" si="1"/>
        <v>0</v>
      </c>
      <c r="L53" s="73"/>
    </row>
    <row r="54" spans="1:13" x14ac:dyDescent="0.3">
      <c r="A54" s="20">
        <v>46106</v>
      </c>
      <c r="B54" s="5">
        <v>187</v>
      </c>
      <c r="C54" s="5" t="s">
        <v>11</v>
      </c>
      <c r="D54" s="5" t="s">
        <v>134</v>
      </c>
      <c r="E54" s="5" t="s">
        <v>205</v>
      </c>
      <c r="F54" s="6">
        <v>476</v>
      </c>
      <c r="G54" s="6">
        <v>325</v>
      </c>
      <c r="H54" s="6">
        <v>476</v>
      </c>
      <c r="I54" s="6">
        <f t="shared" si="2"/>
        <v>154700</v>
      </c>
      <c r="J54" s="6">
        <f t="shared" si="0"/>
        <v>23205</v>
      </c>
      <c r="K54" s="9">
        <f t="shared" si="1"/>
        <v>177905</v>
      </c>
      <c r="L54" s="10"/>
    </row>
    <row r="55" spans="1:13" x14ac:dyDescent="0.3">
      <c r="A55" s="20">
        <v>46106</v>
      </c>
      <c r="B55" s="5">
        <v>188</v>
      </c>
      <c r="C55" s="5" t="s">
        <v>11</v>
      </c>
      <c r="D55" s="5" t="s">
        <v>134</v>
      </c>
      <c r="E55" s="5" t="s">
        <v>205</v>
      </c>
      <c r="F55" s="6">
        <v>24</v>
      </c>
      <c r="G55" s="6">
        <v>325</v>
      </c>
      <c r="H55" s="6">
        <v>24</v>
      </c>
      <c r="I55" s="6">
        <f t="shared" si="2"/>
        <v>7800</v>
      </c>
      <c r="J55" s="6">
        <f t="shared" si="0"/>
        <v>1170</v>
      </c>
      <c r="K55" s="9">
        <f t="shared" si="1"/>
        <v>8970</v>
      </c>
      <c r="L55" s="10"/>
      <c r="M55" s="19"/>
    </row>
    <row r="56" spans="1:13" x14ac:dyDescent="0.3">
      <c r="A56" s="20">
        <v>46106</v>
      </c>
      <c r="B56" s="5">
        <v>189</v>
      </c>
      <c r="C56" s="5" t="s">
        <v>11</v>
      </c>
      <c r="D56" s="14" t="s">
        <v>54</v>
      </c>
      <c r="E56" s="5" t="s">
        <v>195</v>
      </c>
      <c r="F56" s="6">
        <v>30</v>
      </c>
      <c r="G56" s="6">
        <v>900</v>
      </c>
      <c r="H56" s="6">
        <v>30</v>
      </c>
      <c r="I56" s="6">
        <f t="shared" si="2"/>
        <v>27000</v>
      </c>
      <c r="J56" s="6">
        <f t="shared" si="0"/>
        <v>4050</v>
      </c>
      <c r="K56" s="9">
        <f t="shared" si="1"/>
        <v>31050</v>
      </c>
      <c r="L56" s="10"/>
      <c r="M56" s="19"/>
    </row>
    <row r="57" spans="1:13" x14ac:dyDescent="0.3">
      <c r="A57" s="20">
        <v>46106</v>
      </c>
      <c r="B57" s="5">
        <v>190</v>
      </c>
      <c r="C57" s="5" t="s">
        <v>11</v>
      </c>
      <c r="D57" s="5" t="s">
        <v>211</v>
      </c>
      <c r="E57" s="5" t="s">
        <v>212</v>
      </c>
      <c r="F57" s="6">
        <v>50</v>
      </c>
      <c r="G57" s="6">
        <v>395</v>
      </c>
      <c r="H57" s="6">
        <v>50</v>
      </c>
      <c r="I57" s="6">
        <f t="shared" si="2"/>
        <v>19750</v>
      </c>
      <c r="J57" s="6">
        <f t="shared" si="0"/>
        <v>2962.5</v>
      </c>
      <c r="K57" s="43">
        <f t="shared" si="1"/>
        <v>22712.5</v>
      </c>
      <c r="L57" s="44"/>
    </row>
    <row r="58" spans="1:13" x14ac:dyDescent="0.3">
      <c r="A58" s="20">
        <v>46106</v>
      </c>
      <c r="B58" s="5">
        <v>191</v>
      </c>
      <c r="C58" s="5" t="s">
        <v>11</v>
      </c>
      <c r="D58" s="5" t="s">
        <v>211</v>
      </c>
      <c r="E58" s="5" t="s">
        <v>213</v>
      </c>
      <c r="F58" s="6">
        <v>200</v>
      </c>
      <c r="G58" s="6">
        <v>215</v>
      </c>
      <c r="H58" s="6">
        <v>200</v>
      </c>
      <c r="I58" s="6">
        <f t="shared" si="2"/>
        <v>43000</v>
      </c>
      <c r="J58" s="6">
        <f t="shared" si="0"/>
        <v>6450</v>
      </c>
      <c r="K58" s="43">
        <f t="shared" si="1"/>
        <v>49450</v>
      </c>
      <c r="L58" s="44"/>
    </row>
    <row r="59" spans="1:13" x14ac:dyDescent="0.3">
      <c r="A59" s="20">
        <v>46107</v>
      </c>
      <c r="B59" s="5">
        <v>192</v>
      </c>
      <c r="C59" s="5" t="s">
        <v>11</v>
      </c>
      <c r="D59" s="5" t="s">
        <v>211</v>
      </c>
      <c r="E59" s="14" t="s">
        <v>203</v>
      </c>
      <c r="F59" s="6">
        <v>50</v>
      </c>
      <c r="G59" s="6">
        <v>33.5</v>
      </c>
      <c r="H59" s="6">
        <v>1019.13</v>
      </c>
      <c r="I59" s="6">
        <f t="shared" si="2"/>
        <v>34140.855000000003</v>
      </c>
      <c r="J59" s="6">
        <f t="shared" si="0"/>
        <v>5121.1282500000007</v>
      </c>
      <c r="K59" s="43">
        <f t="shared" si="1"/>
        <v>39261.983250000005</v>
      </c>
      <c r="L59" s="44"/>
    </row>
    <row r="60" spans="1:13" x14ac:dyDescent="0.3">
      <c r="A60" s="20">
        <v>46109</v>
      </c>
      <c r="B60" s="5">
        <v>193</v>
      </c>
      <c r="C60" s="5" t="s">
        <v>11</v>
      </c>
      <c r="D60" s="14" t="s">
        <v>96</v>
      </c>
      <c r="E60" s="14" t="s">
        <v>140</v>
      </c>
      <c r="F60" s="6">
        <v>30</v>
      </c>
      <c r="G60" s="6">
        <v>395</v>
      </c>
      <c r="H60" s="6">
        <v>30</v>
      </c>
      <c r="I60" s="6">
        <f t="shared" si="2"/>
        <v>11850</v>
      </c>
      <c r="J60" s="6">
        <f t="shared" si="0"/>
        <v>1777.5</v>
      </c>
      <c r="K60" s="66">
        <f t="shared" si="1"/>
        <v>13627.5</v>
      </c>
      <c r="L60" s="67"/>
    </row>
    <row r="61" spans="1:13" x14ac:dyDescent="0.3">
      <c r="A61" s="20">
        <v>46109</v>
      </c>
      <c r="B61" s="5">
        <v>193</v>
      </c>
      <c r="C61" s="5" t="s">
        <v>11</v>
      </c>
      <c r="D61" s="14" t="s">
        <v>96</v>
      </c>
      <c r="E61" s="14" t="s">
        <v>215</v>
      </c>
      <c r="F61" s="6">
        <v>26</v>
      </c>
      <c r="G61" s="6">
        <v>684</v>
      </c>
      <c r="H61" s="6">
        <v>26</v>
      </c>
      <c r="I61" s="6">
        <f t="shared" si="2"/>
        <v>17784</v>
      </c>
      <c r="J61" s="6">
        <f t="shared" si="0"/>
        <v>2667.6</v>
      </c>
      <c r="K61" s="66">
        <f t="shared" si="1"/>
        <v>20451.599999999999</v>
      </c>
      <c r="L61" s="67"/>
    </row>
    <row r="62" spans="1:13" x14ac:dyDescent="0.3">
      <c r="A62" s="20">
        <v>46109</v>
      </c>
      <c r="B62" s="5">
        <v>193</v>
      </c>
      <c r="C62" s="5" t="s">
        <v>11</v>
      </c>
      <c r="D62" s="5" t="s">
        <v>96</v>
      </c>
      <c r="E62" s="5" t="s">
        <v>52</v>
      </c>
      <c r="F62" s="6">
        <v>4</v>
      </c>
      <c r="G62" s="6">
        <v>693</v>
      </c>
      <c r="H62" s="6">
        <v>4</v>
      </c>
      <c r="I62" s="6">
        <f t="shared" si="2"/>
        <v>2772</v>
      </c>
      <c r="J62" s="6">
        <f t="shared" si="0"/>
        <v>415.8</v>
      </c>
      <c r="K62" s="66">
        <f t="shared" si="1"/>
        <v>3187.8</v>
      </c>
      <c r="L62" s="67"/>
    </row>
    <row r="63" spans="1:13" x14ac:dyDescent="0.3">
      <c r="A63" s="20">
        <v>46109</v>
      </c>
      <c r="B63" s="5">
        <v>194</v>
      </c>
      <c r="C63" s="5" t="s">
        <v>11</v>
      </c>
      <c r="D63" s="5" t="s">
        <v>131</v>
      </c>
      <c r="E63" s="5" t="s">
        <v>189</v>
      </c>
      <c r="F63" s="6">
        <v>1418</v>
      </c>
      <c r="G63" s="6">
        <v>92</v>
      </c>
      <c r="H63" s="6">
        <v>1418</v>
      </c>
      <c r="I63" s="6">
        <f t="shared" si="2"/>
        <v>130456</v>
      </c>
      <c r="J63" s="6">
        <f t="shared" si="0"/>
        <v>19568.399999999998</v>
      </c>
      <c r="K63" s="9">
        <f t="shared" si="1"/>
        <v>150024.4</v>
      </c>
      <c r="L63" s="10"/>
    </row>
    <row r="64" spans="1:13" x14ac:dyDescent="0.3">
      <c r="A64" s="20">
        <v>46109</v>
      </c>
      <c r="B64" s="5">
        <v>195</v>
      </c>
      <c r="C64" s="5" t="s">
        <v>11</v>
      </c>
      <c r="D64" s="5" t="s">
        <v>75</v>
      </c>
      <c r="E64" s="5" t="s">
        <v>95</v>
      </c>
      <c r="F64" s="6">
        <v>10</v>
      </c>
      <c r="G64" s="6">
        <v>420</v>
      </c>
      <c r="H64" s="6">
        <v>10</v>
      </c>
      <c r="I64" s="6">
        <f t="shared" si="2"/>
        <v>4200</v>
      </c>
      <c r="J64" s="6">
        <f t="shared" si="0"/>
        <v>630</v>
      </c>
      <c r="K64" s="9">
        <f t="shared" si="1"/>
        <v>4830</v>
      </c>
      <c r="L64" s="10"/>
    </row>
    <row r="65" spans="1:13" x14ac:dyDescent="0.3">
      <c r="A65" s="20">
        <v>46109</v>
      </c>
      <c r="B65" s="5">
        <v>196</v>
      </c>
      <c r="C65" s="5" t="s">
        <v>11</v>
      </c>
      <c r="D65" s="5" t="s">
        <v>112</v>
      </c>
      <c r="E65" s="5" t="s">
        <v>24</v>
      </c>
      <c r="F65" s="6">
        <v>500</v>
      </c>
      <c r="G65" s="6">
        <v>182</v>
      </c>
      <c r="H65" s="6">
        <v>500</v>
      </c>
      <c r="I65" s="6">
        <f t="shared" si="2"/>
        <v>91000</v>
      </c>
      <c r="J65" s="6">
        <f t="shared" si="0"/>
        <v>13650</v>
      </c>
      <c r="K65" s="87">
        <f t="shared" si="1"/>
        <v>104650</v>
      </c>
      <c r="L65" s="88"/>
    </row>
    <row r="66" spans="1:13" x14ac:dyDescent="0.3">
      <c r="A66" s="20">
        <v>46110</v>
      </c>
      <c r="B66" s="5">
        <v>197</v>
      </c>
      <c r="C66" s="5"/>
      <c r="D66" s="5" t="s">
        <v>216</v>
      </c>
      <c r="E66" s="5"/>
      <c r="F66" s="6"/>
      <c r="G66" s="6"/>
      <c r="H66" s="6"/>
      <c r="I66" s="6">
        <f t="shared" si="2"/>
        <v>0</v>
      </c>
      <c r="J66" s="6">
        <f t="shared" si="0"/>
        <v>0</v>
      </c>
      <c r="K66" s="9">
        <v>1200006</v>
      </c>
      <c r="L66" s="10"/>
    </row>
    <row r="67" spans="1:13" x14ac:dyDescent="0.3">
      <c r="A67" s="20">
        <v>46111</v>
      </c>
      <c r="B67" s="5">
        <v>198</v>
      </c>
      <c r="C67" s="5" t="s">
        <v>11</v>
      </c>
      <c r="D67" s="5" t="s">
        <v>19</v>
      </c>
      <c r="E67" s="5" t="s">
        <v>118</v>
      </c>
      <c r="F67" s="6">
        <v>273</v>
      </c>
      <c r="G67" s="6">
        <v>100</v>
      </c>
      <c r="H67" s="6">
        <v>273</v>
      </c>
      <c r="I67" s="6">
        <f t="shared" si="2"/>
        <v>27300</v>
      </c>
      <c r="J67" s="6">
        <f t="shared" si="0"/>
        <v>4095</v>
      </c>
      <c r="K67" s="43">
        <f t="shared" si="1"/>
        <v>31395</v>
      </c>
      <c r="L67" s="44"/>
    </row>
    <row r="68" spans="1:13" x14ac:dyDescent="0.3">
      <c r="A68" s="20">
        <v>46111</v>
      </c>
      <c r="B68" s="5">
        <v>199</v>
      </c>
      <c r="C68" s="5" t="s">
        <v>11</v>
      </c>
      <c r="D68" s="5" t="s">
        <v>54</v>
      </c>
      <c r="E68" s="14" t="s">
        <v>203</v>
      </c>
      <c r="F68" s="6">
        <v>100</v>
      </c>
      <c r="G68" s="6">
        <v>32</v>
      </c>
      <c r="H68" s="6">
        <v>1966.35</v>
      </c>
      <c r="I68" s="6">
        <f t="shared" si="2"/>
        <v>62923.199999999997</v>
      </c>
      <c r="J68" s="6">
        <f t="shared" si="0"/>
        <v>9438.48</v>
      </c>
      <c r="K68" s="9">
        <f t="shared" si="1"/>
        <v>72361.679999999993</v>
      </c>
      <c r="L68" s="10"/>
      <c r="M68" s="19"/>
    </row>
    <row r="69" spans="1:13" x14ac:dyDescent="0.3">
      <c r="A69" s="20">
        <v>46111</v>
      </c>
      <c r="B69" s="5">
        <v>199</v>
      </c>
      <c r="C69" s="5" t="s">
        <v>11</v>
      </c>
      <c r="D69" s="5" t="s">
        <v>54</v>
      </c>
      <c r="E69" s="5" t="s">
        <v>220</v>
      </c>
      <c r="F69" s="6">
        <v>100</v>
      </c>
      <c r="G69" s="6">
        <v>28</v>
      </c>
      <c r="H69" s="6">
        <v>1915.15</v>
      </c>
      <c r="I69" s="6">
        <f t="shared" si="2"/>
        <v>53624.200000000004</v>
      </c>
      <c r="J69" s="6">
        <f t="shared" si="0"/>
        <v>8043.63</v>
      </c>
      <c r="K69" s="9">
        <f t="shared" si="1"/>
        <v>61667.83</v>
      </c>
      <c r="L69" s="10"/>
    </row>
    <row r="70" spans="1:13" x14ac:dyDescent="0.3">
      <c r="A70" s="20">
        <v>46111</v>
      </c>
      <c r="B70" s="5">
        <v>199</v>
      </c>
      <c r="C70" s="5" t="s">
        <v>11</v>
      </c>
      <c r="D70" s="5" t="s">
        <v>54</v>
      </c>
      <c r="E70" s="5" t="s">
        <v>91</v>
      </c>
      <c r="F70" s="6">
        <v>100</v>
      </c>
      <c r="G70" s="6">
        <v>20</v>
      </c>
      <c r="H70" s="6">
        <v>1550.05</v>
      </c>
      <c r="I70" s="6">
        <f t="shared" si="2"/>
        <v>31001</v>
      </c>
      <c r="J70" s="6">
        <f t="shared" si="0"/>
        <v>4650.1499999999996</v>
      </c>
      <c r="K70" s="9">
        <f t="shared" si="1"/>
        <v>35651.15</v>
      </c>
      <c r="L70" s="10"/>
      <c r="M70" s="19"/>
    </row>
    <row r="71" spans="1:13" x14ac:dyDescent="0.3">
      <c r="A71" s="20">
        <v>46112</v>
      </c>
      <c r="B71" s="5">
        <v>200</v>
      </c>
      <c r="C71" s="5" t="s">
        <v>11</v>
      </c>
      <c r="D71" s="5" t="s">
        <v>96</v>
      </c>
      <c r="E71" s="14" t="s">
        <v>203</v>
      </c>
      <c r="F71" s="6">
        <v>25</v>
      </c>
      <c r="G71" s="6">
        <v>33</v>
      </c>
      <c r="H71" s="6">
        <v>444.97</v>
      </c>
      <c r="I71" s="6">
        <f t="shared" si="2"/>
        <v>14684.01</v>
      </c>
      <c r="J71" s="6">
        <f t="shared" si="0"/>
        <v>2202.6014999999998</v>
      </c>
      <c r="K71" s="9">
        <f t="shared" si="1"/>
        <v>16886.611499999999</v>
      </c>
      <c r="L71" s="10"/>
      <c r="M71" s="19"/>
    </row>
    <row r="72" spans="1:13" x14ac:dyDescent="0.3">
      <c r="A72" s="20">
        <v>46112</v>
      </c>
      <c r="B72" s="5">
        <v>200</v>
      </c>
      <c r="C72" s="5" t="s">
        <v>11</v>
      </c>
      <c r="D72" s="5" t="s">
        <v>96</v>
      </c>
      <c r="E72" s="5" t="s">
        <v>220</v>
      </c>
      <c r="F72" s="6">
        <v>25</v>
      </c>
      <c r="G72" s="6">
        <v>29</v>
      </c>
      <c r="H72" s="6">
        <v>438.27</v>
      </c>
      <c r="I72" s="6">
        <f t="shared" si="2"/>
        <v>12709.83</v>
      </c>
      <c r="J72" s="6">
        <f t="shared" si="0"/>
        <v>1906.4744999999998</v>
      </c>
      <c r="K72" s="9">
        <f t="shared" si="1"/>
        <v>14616.3045</v>
      </c>
      <c r="L72" s="10"/>
      <c r="M72" s="19"/>
    </row>
    <row r="73" spans="1:13" x14ac:dyDescent="0.3">
      <c r="A73" s="78">
        <v>46112</v>
      </c>
      <c r="B73" s="79" t="s">
        <v>146</v>
      </c>
      <c r="C73" s="79" t="s">
        <v>11</v>
      </c>
      <c r="D73" s="79" t="s">
        <v>96</v>
      </c>
      <c r="E73" s="80" t="s">
        <v>203</v>
      </c>
      <c r="F73" s="81">
        <v>-25</v>
      </c>
      <c r="G73" s="81">
        <v>33</v>
      </c>
      <c r="H73" s="81">
        <v>-444.97</v>
      </c>
      <c r="I73" s="81">
        <f t="shared" si="2"/>
        <v>-14684.01</v>
      </c>
      <c r="J73" s="81">
        <f t="shared" si="0"/>
        <v>-2202.6014999999998</v>
      </c>
      <c r="K73" s="83">
        <f t="shared" si="1"/>
        <v>-16886.611499999999</v>
      </c>
      <c r="L73" s="84"/>
    </row>
    <row r="74" spans="1:13" x14ac:dyDescent="0.3">
      <c r="A74" s="78">
        <v>46112</v>
      </c>
      <c r="B74" s="79" t="s">
        <v>146</v>
      </c>
      <c r="C74" s="79" t="s">
        <v>11</v>
      </c>
      <c r="D74" s="79" t="s">
        <v>96</v>
      </c>
      <c r="E74" s="79" t="s">
        <v>220</v>
      </c>
      <c r="F74" s="81">
        <v>-25</v>
      </c>
      <c r="G74" s="81">
        <v>29</v>
      </c>
      <c r="H74" s="81">
        <v>-438.27</v>
      </c>
      <c r="I74" s="81">
        <f t="shared" si="2"/>
        <v>-12709.83</v>
      </c>
      <c r="J74" s="81">
        <f t="shared" si="0"/>
        <v>-1906.4744999999998</v>
      </c>
      <c r="K74" s="83">
        <f t="shared" si="1"/>
        <v>-14616.3045</v>
      </c>
      <c r="L74" s="84"/>
    </row>
    <row r="75" spans="1:13" x14ac:dyDescent="0.3">
      <c r="A75" s="20"/>
      <c r="B75" s="5"/>
      <c r="C75" s="5"/>
      <c r="D75" s="5"/>
      <c r="E75" s="14"/>
      <c r="F75" s="6"/>
      <c r="G75" s="6"/>
      <c r="H75" s="6"/>
      <c r="I75" s="6">
        <f t="shared" si="2"/>
        <v>0</v>
      </c>
      <c r="J75" s="6">
        <f t="shared" si="0"/>
        <v>0</v>
      </c>
      <c r="K75" s="9">
        <f t="shared" si="1"/>
        <v>0</v>
      </c>
      <c r="L75" s="10"/>
      <c r="M75" s="19"/>
    </row>
    <row r="76" spans="1:13" x14ac:dyDescent="0.3">
      <c r="A76" s="20"/>
      <c r="B76" s="5"/>
      <c r="C76" s="5"/>
      <c r="D76" s="5"/>
      <c r="E76" s="5"/>
      <c r="F76" s="6"/>
      <c r="G76" s="6"/>
      <c r="H76" s="6"/>
      <c r="I76" s="6">
        <f t="shared" si="2"/>
        <v>0</v>
      </c>
      <c r="J76" s="6">
        <f t="shared" si="0"/>
        <v>0</v>
      </c>
      <c r="K76" s="9">
        <f t="shared" si="1"/>
        <v>0</v>
      </c>
      <c r="L76" s="10"/>
    </row>
    <row r="77" spans="1:13" x14ac:dyDescent="0.3">
      <c r="A77" s="20"/>
      <c r="B77" s="5"/>
      <c r="C77" s="5"/>
      <c r="D77" s="5"/>
      <c r="E77" s="5"/>
      <c r="F77" s="6"/>
      <c r="G77" s="6"/>
      <c r="H77" s="6"/>
      <c r="I77" s="6">
        <f t="shared" si="2"/>
        <v>0</v>
      </c>
      <c r="J77" s="6">
        <f t="shared" si="0"/>
        <v>0</v>
      </c>
      <c r="K77" s="9">
        <f t="shared" si="1"/>
        <v>0</v>
      </c>
      <c r="L77" s="10"/>
    </row>
    <row r="78" spans="1:13" x14ac:dyDescent="0.3">
      <c r="A78" s="20"/>
      <c r="B78" s="5"/>
      <c r="C78" s="5"/>
      <c r="D78" s="5"/>
      <c r="E78" s="14"/>
      <c r="F78" s="6"/>
      <c r="G78" s="6"/>
      <c r="H78" s="6"/>
      <c r="I78" s="6">
        <f t="shared" si="2"/>
        <v>0</v>
      </c>
      <c r="J78" s="6">
        <f t="shared" si="0"/>
        <v>0</v>
      </c>
      <c r="K78" s="9">
        <f t="shared" si="1"/>
        <v>0</v>
      </c>
      <c r="L78" s="10"/>
    </row>
    <row r="79" spans="1:13" x14ac:dyDescent="0.3">
      <c r="A79" s="20"/>
      <c r="B79" s="5"/>
      <c r="C79" s="5"/>
      <c r="D79" s="5"/>
      <c r="E79" s="5"/>
      <c r="F79" s="6"/>
      <c r="G79" s="6"/>
      <c r="H79" s="6"/>
      <c r="I79" s="6">
        <f t="shared" si="2"/>
        <v>0</v>
      </c>
      <c r="J79" s="6">
        <f t="shared" si="0"/>
        <v>0</v>
      </c>
      <c r="K79" s="9">
        <f t="shared" si="1"/>
        <v>0</v>
      </c>
      <c r="L79" s="10"/>
    </row>
    <row r="80" spans="1:13" x14ac:dyDescent="0.3">
      <c r="A80" s="20"/>
      <c r="B80" s="5"/>
      <c r="C80" s="5"/>
      <c r="D80" s="5"/>
      <c r="E80" s="5"/>
      <c r="F80" s="6"/>
      <c r="G80" s="6"/>
      <c r="H80" s="6"/>
      <c r="I80" s="6">
        <f t="shared" si="2"/>
        <v>0</v>
      </c>
      <c r="J80" s="6">
        <f t="shared" si="0"/>
        <v>0</v>
      </c>
      <c r="K80" s="9">
        <f t="shared" si="1"/>
        <v>0</v>
      </c>
      <c r="L80" s="10"/>
    </row>
    <row r="81" spans="1:13" x14ac:dyDescent="0.3">
      <c r="A81" s="20"/>
      <c r="B81" s="5"/>
      <c r="C81" s="5"/>
      <c r="D81" s="5"/>
      <c r="E81" s="5"/>
      <c r="F81" s="6"/>
      <c r="G81" s="6"/>
      <c r="H81" s="6"/>
      <c r="I81" s="6">
        <f t="shared" si="2"/>
        <v>0</v>
      </c>
      <c r="J81" s="6">
        <f t="shared" si="0"/>
        <v>0</v>
      </c>
      <c r="K81" s="9">
        <f t="shared" si="1"/>
        <v>0</v>
      </c>
      <c r="L81" s="10"/>
    </row>
    <row r="82" spans="1:13" x14ac:dyDescent="0.3">
      <c r="A82" s="20"/>
      <c r="B82" s="5"/>
      <c r="C82" s="5"/>
      <c r="D82" s="5"/>
      <c r="E82" s="5"/>
      <c r="F82" s="6"/>
      <c r="G82" s="6"/>
      <c r="H82" s="6"/>
      <c r="I82" s="6">
        <f t="shared" si="2"/>
        <v>0</v>
      </c>
      <c r="J82" s="6">
        <f t="shared" si="0"/>
        <v>0</v>
      </c>
      <c r="K82" s="9">
        <f t="shared" si="1"/>
        <v>0</v>
      </c>
      <c r="L82" s="10"/>
    </row>
    <row r="83" spans="1:13" x14ac:dyDescent="0.3">
      <c r="A83" s="20"/>
      <c r="B83" s="5"/>
      <c r="C83" s="5"/>
      <c r="D83" s="14"/>
      <c r="E83" s="5"/>
      <c r="F83" s="6"/>
      <c r="G83" s="6"/>
      <c r="H83" s="6"/>
      <c r="I83" s="6">
        <f t="shared" si="2"/>
        <v>0</v>
      </c>
      <c r="J83" s="6">
        <f t="shared" si="0"/>
        <v>0</v>
      </c>
      <c r="K83" s="9">
        <f t="shared" si="1"/>
        <v>0</v>
      </c>
      <c r="L83" s="10"/>
      <c r="M83" s="19"/>
    </row>
    <row r="84" spans="1:13" x14ac:dyDescent="0.3">
      <c r="A84" s="20"/>
      <c r="B84" s="5"/>
      <c r="C84" s="5"/>
      <c r="D84" s="5"/>
      <c r="E84" s="5"/>
      <c r="F84" s="6"/>
      <c r="G84" s="6"/>
      <c r="H84" s="6"/>
      <c r="I84" s="6">
        <f t="shared" si="2"/>
        <v>0</v>
      </c>
      <c r="J84" s="6">
        <f t="shared" si="0"/>
        <v>0</v>
      </c>
      <c r="K84" s="9">
        <f t="shared" si="1"/>
        <v>0</v>
      </c>
      <c r="L84" s="10"/>
      <c r="M84" s="19"/>
    </row>
    <row r="85" spans="1:13" x14ac:dyDescent="0.3">
      <c r="A85" s="20"/>
      <c r="B85" s="5"/>
      <c r="C85" s="5"/>
      <c r="D85" s="5"/>
      <c r="E85" s="5"/>
      <c r="F85" s="6"/>
      <c r="G85" s="6"/>
      <c r="H85" s="6"/>
      <c r="I85" s="6">
        <f t="shared" si="2"/>
        <v>0</v>
      </c>
      <c r="J85" s="6">
        <f t="shared" si="0"/>
        <v>0</v>
      </c>
      <c r="K85" s="9">
        <f t="shared" si="1"/>
        <v>0</v>
      </c>
      <c r="L85" s="10"/>
      <c r="M85" s="19"/>
    </row>
    <row r="86" spans="1:13" x14ac:dyDescent="0.3">
      <c r="A86" s="20"/>
      <c r="B86" s="5"/>
      <c r="C86" s="5"/>
      <c r="D86" s="5"/>
      <c r="E86" s="5"/>
      <c r="F86" s="6"/>
      <c r="G86" s="6"/>
      <c r="H86" s="6"/>
      <c r="I86" s="6">
        <f t="shared" si="2"/>
        <v>0</v>
      </c>
      <c r="J86" s="6">
        <f t="shared" si="0"/>
        <v>0</v>
      </c>
      <c r="K86" s="9">
        <f t="shared" si="1"/>
        <v>0</v>
      </c>
      <c r="L86" s="10"/>
      <c r="M86" s="19"/>
    </row>
    <row r="87" spans="1:13" x14ac:dyDescent="0.3">
      <c r="A87" s="20"/>
      <c r="B87" s="5"/>
      <c r="C87" s="5"/>
      <c r="D87" s="5"/>
      <c r="E87" s="5"/>
      <c r="F87" s="6"/>
      <c r="G87" s="6"/>
      <c r="H87" s="6"/>
      <c r="I87" s="6">
        <f t="shared" si="2"/>
        <v>0</v>
      </c>
      <c r="J87" s="6">
        <f t="shared" si="0"/>
        <v>0</v>
      </c>
      <c r="K87" s="9">
        <f t="shared" si="1"/>
        <v>0</v>
      </c>
      <c r="L87" s="10"/>
      <c r="M87" s="19"/>
    </row>
    <row r="88" spans="1:13" x14ac:dyDescent="0.3">
      <c r="A88" s="20"/>
      <c r="B88" s="5"/>
      <c r="C88" s="5"/>
      <c r="D88" s="5"/>
      <c r="E88" s="5"/>
      <c r="F88" s="6"/>
      <c r="G88" s="6"/>
      <c r="H88" s="6"/>
      <c r="I88" s="6">
        <f t="shared" si="2"/>
        <v>0</v>
      </c>
      <c r="J88" s="6">
        <f t="shared" si="0"/>
        <v>0</v>
      </c>
      <c r="K88" s="9">
        <f t="shared" si="1"/>
        <v>0</v>
      </c>
      <c r="L88" s="10"/>
      <c r="M88" s="19"/>
    </row>
    <row r="89" spans="1:13" x14ac:dyDescent="0.3">
      <c r="A89" s="20"/>
      <c r="B89" s="5"/>
      <c r="C89" s="5"/>
      <c r="D89" s="5"/>
      <c r="E89" s="5"/>
      <c r="F89" s="6"/>
      <c r="G89" s="6"/>
      <c r="H89" s="6"/>
      <c r="I89" s="6">
        <f t="shared" si="2"/>
        <v>0</v>
      </c>
      <c r="J89" s="6">
        <f t="shared" si="0"/>
        <v>0</v>
      </c>
      <c r="K89" s="9">
        <f t="shared" si="1"/>
        <v>0</v>
      </c>
      <c r="L89" s="10"/>
      <c r="M89" s="19"/>
    </row>
    <row r="90" spans="1:13" x14ac:dyDescent="0.3">
      <c r="A90" s="20"/>
      <c r="B90" s="5"/>
      <c r="C90" s="5"/>
      <c r="D90" s="5"/>
      <c r="E90" s="5"/>
      <c r="F90" s="6"/>
      <c r="G90" s="6"/>
      <c r="H90" s="6"/>
      <c r="I90" s="6">
        <f t="shared" si="2"/>
        <v>0</v>
      </c>
      <c r="J90" s="6">
        <f t="shared" si="0"/>
        <v>0</v>
      </c>
      <c r="K90" s="9">
        <f t="shared" si="1"/>
        <v>0</v>
      </c>
      <c r="L90" s="10"/>
    </row>
    <row r="91" spans="1:13" x14ac:dyDescent="0.3">
      <c r="A91" s="20"/>
      <c r="B91" s="5"/>
      <c r="C91" s="5"/>
      <c r="D91" s="5"/>
      <c r="E91" s="5"/>
      <c r="F91" s="6"/>
      <c r="G91" s="6"/>
      <c r="H91" s="6"/>
      <c r="I91" s="6">
        <f t="shared" si="2"/>
        <v>0</v>
      </c>
      <c r="J91" s="6">
        <f t="shared" si="0"/>
        <v>0</v>
      </c>
      <c r="K91" s="9">
        <f t="shared" si="1"/>
        <v>0</v>
      </c>
      <c r="L91" s="10"/>
      <c r="M91" s="19"/>
    </row>
    <row r="92" spans="1:13" x14ac:dyDescent="0.3">
      <c r="A92" s="20"/>
      <c r="B92" s="5"/>
      <c r="C92" s="5"/>
      <c r="D92" s="5"/>
      <c r="E92" s="5"/>
      <c r="F92" s="6"/>
      <c r="G92" s="6"/>
      <c r="H92" s="6"/>
      <c r="I92" s="6">
        <f t="shared" si="2"/>
        <v>0</v>
      </c>
      <c r="J92" s="6">
        <f t="shared" si="0"/>
        <v>0</v>
      </c>
      <c r="K92" s="9">
        <f t="shared" si="1"/>
        <v>0</v>
      </c>
      <c r="L92" s="10"/>
      <c r="M92" s="19"/>
    </row>
    <row r="93" spans="1:13" x14ac:dyDescent="0.3">
      <c r="A93" s="20"/>
      <c r="B93" s="5"/>
      <c r="C93" s="5"/>
      <c r="D93" s="5"/>
      <c r="E93" s="5"/>
      <c r="F93" s="6"/>
      <c r="G93" s="6"/>
      <c r="H93" s="6"/>
      <c r="I93" s="6">
        <f t="shared" si="2"/>
        <v>0</v>
      </c>
      <c r="J93" s="6">
        <f t="shared" si="0"/>
        <v>0</v>
      </c>
      <c r="K93" s="9">
        <f t="shared" si="1"/>
        <v>0</v>
      </c>
      <c r="L93" s="10"/>
      <c r="M93" s="19"/>
    </row>
    <row r="94" spans="1:13" x14ac:dyDescent="0.3">
      <c r="A94" s="20"/>
      <c r="B94" s="5"/>
      <c r="C94" s="5"/>
      <c r="D94" s="5"/>
      <c r="E94" s="5"/>
      <c r="F94" s="6"/>
      <c r="G94" s="6"/>
      <c r="H94" s="6"/>
      <c r="I94" s="6">
        <f t="shared" si="2"/>
        <v>0</v>
      </c>
      <c r="J94" s="6">
        <f t="shared" si="0"/>
        <v>0</v>
      </c>
      <c r="K94" s="9">
        <f t="shared" si="1"/>
        <v>0</v>
      </c>
      <c r="L94" s="10"/>
      <c r="M94" s="19"/>
    </row>
    <row r="95" spans="1:13" x14ac:dyDescent="0.3">
      <c r="A95" s="20"/>
      <c r="B95" s="5"/>
      <c r="C95" s="5"/>
      <c r="D95" s="5"/>
      <c r="E95" s="5"/>
      <c r="F95" s="6"/>
      <c r="G95" s="6"/>
      <c r="H95" s="6"/>
      <c r="I95" s="6">
        <f t="shared" si="2"/>
        <v>0</v>
      </c>
      <c r="J95" s="6">
        <f t="shared" si="0"/>
        <v>0</v>
      </c>
      <c r="K95" s="9">
        <f t="shared" si="1"/>
        <v>0</v>
      </c>
      <c r="L95" s="10"/>
    </row>
    <row r="96" spans="1:13" x14ac:dyDescent="0.3">
      <c r="A96" s="20"/>
      <c r="B96" s="5"/>
      <c r="C96" s="5"/>
      <c r="D96" s="5"/>
      <c r="E96" s="5"/>
      <c r="F96" s="6"/>
      <c r="G96" s="6"/>
      <c r="H96" s="6"/>
      <c r="I96" s="6">
        <f t="shared" si="2"/>
        <v>0</v>
      </c>
      <c r="J96" s="6">
        <f t="shared" si="0"/>
        <v>0</v>
      </c>
      <c r="K96" s="9">
        <f t="shared" si="1"/>
        <v>0</v>
      </c>
      <c r="L96" s="10"/>
      <c r="M96" s="19"/>
    </row>
    <row r="97" spans="1:13" x14ac:dyDescent="0.3">
      <c r="A97" s="20"/>
      <c r="B97" s="5"/>
      <c r="C97" s="5"/>
      <c r="D97" s="5"/>
      <c r="E97" s="5"/>
      <c r="F97" s="6"/>
      <c r="G97" s="6"/>
      <c r="H97" s="6"/>
      <c r="I97" s="6">
        <f t="shared" si="2"/>
        <v>0</v>
      </c>
      <c r="J97" s="6">
        <f t="shared" si="0"/>
        <v>0</v>
      </c>
      <c r="K97" s="9">
        <f t="shared" si="1"/>
        <v>0</v>
      </c>
      <c r="L97" s="10"/>
      <c r="M97" s="19"/>
    </row>
    <row r="98" spans="1:13" x14ac:dyDescent="0.3">
      <c r="A98" s="20"/>
      <c r="B98" s="5"/>
      <c r="C98" s="5"/>
      <c r="D98" s="5"/>
      <c r="E98" s="5"/>
      <c r="F98" s="6"/>
      <c r="G98" s="6"/>
      <c r="H98" s="6"/>
      <c r="I98" s="6">
        <f t="shared" si="2"/>
        <v>0</v>
      </c>
      <c r="J98" s="6">
        <f t="shared" si="0"/>
        <v>0</v>
      </c>
      <c r="K98" s="9">
        <f t="shared" si="1"/>
        <v>0</v>
      </c>
      <c r="L98" s="10"/>
      <c r="M98" s="19"/>
    </row>
    <row r="99" spans="1:13" x14ac:dyDescent="0.3">
      <c r="A99" s="20"/>
      <c r="B99" s="5"/>
      <c r="C99" s="5"/>
      <c r="D99" s="5"/>
      <c r="E99" s="5"/>
      <c r="F99" s="6"/>
      <c r="G99" s="6"/>
      <c r="H99" s="6"/>
      <c r="I99" s="6">
        <f t="shared" si="2"/>
        <v>0</v>
      </c>
      <c r="J99" s="6">
        <f t="shared" si="0"/>
        <v>0</v>
      </c>
      <c r="K99" s="9">
        <f t="shared" si="1"/>
        <v>0</v>
      </c>
      <c r="L99" s="10"/>
    </row>
    <row r="100" spans="1:13" x14ac:dyDescent="0.3">
      <c r="A100" s="20"/>
      <c r="B100" s="5"/>
      <c r="C100" s="5"/>
      <c r="D100" s="5"/>
      <c r="E100" s="5"/>
      <c r="F100" s="6"/>
      <c r="G100" s="6"/>
      <c r="H100" s="6"/>
      <c r="I100" s="6">
        <f t="shared" si="2"/>
        <v>0</v>
      </c>
      <c r="J100" s="6">
        <f t="shared" si="0"/>
        <v>0</v>
      </c>
      <c r="K100" s="9">
        <f t="shared" si="1"/>
        <v>0</v>
      </c>
      <c r="L100" s="10"/>
    </row>
    <row r="101" spans="1:13" x14ac:dyDescent="0.3">
      <c r="A101" s="20"/>
      <c r="B101" s="5"/>
      <c r="C101" s="5"/>
      <c r="D101" s="5"/>
      <c r="E101" s="5"/>
      <c r="F101" s="6"/>
      <c r="G101" s="6"/>
      <c r="H101" s="6"/>
      <c r="I101" s="6">
        <f t="shared" si="2"/>
        <v>0</v>
      </c>
      <c r="J101" s="6">
        <f t="shared" si="0"/>
        <v>0</v>
      </c>
      <c r="K101" s="9">
        <f t="shared" si="1"/>
        <v>0</v>
      </c>
      <c r="L101" s="10"/>
    </row>
    <row r="102" spans="1:13" x14ac:dyDescent="0.3">
      <c r="A102" s="20"/>
      <c r="B102" s="5"/>
      <c r="C102" s="5"/>
      <c r="D102" s="5"/>
      <c r="E102" s="5"/>
      <c r="F102" s="6"/>
      <c r="G102" s="6"/>
      <c r="H102" s="6"/>
      <c r="I102" s="6">
        <f t="shared" si="2"/>
        <v>0</v>
      </c>
      <c r="J102" s="6">
        <f t="shared" si="0"/>
        <v>0</v>
      </c>
      <c r="K102" s="9">
        <f t="shared" si="1"/>
        <v>0</v>
      </c>
      <c r="L102" s="10"/>
    </row>
    <row r="103" spans="1:13" x14ac:dyDescent="0.3">
      <c r="A103" s="20"/>
      <c r="B103" s="5"/>
      <c r="C103" s="5"/>
      <c r="D103" s="5"/>
      <c r="E103" s="5"/>
      <c r="F103" s="6"/>
      <c r="G103" s="6"/>
      <c r="H103" s="6"/>
      <c r="I103" s="6">
        <f t="shared" si="2"/>
        <v>0</v>
      </c>
      <c r="J103" s="6">
        <f t="shared" si="0"/>
        <v>0</v>
      </c>
      <c r="K103" s="9">
        <f t="shared" si="1"/>
        <v>0</v>
      </c>
      <c r="L103" s="10"/>
    </row>
    <row r="104" spans="1:13" x14ac:dyDescent="0.3">
      <c r="A104" s="20"/>
      <c r="B104" s="5"/>
      <c r="C104" s="5"/>
      <c r="D104" s="5"/>
      <c r="E104" s="5"/>
      <c r="F104" s="6"/>
      <c r="G104" s="6"/>
      <c r="H104" s="6"/>
      <c r="I104" s="6">
        <f t="shared" si="2"/>
        <v>0</v>
      </c>
      <c r="J104" s="6">
        <f t="shared" si="0"/>
        <v>0</v>
      </c>
      <c r="K104" s="9">
        <f t="shared" si="1"/>
        <v>0</v>
      </c>
      <c r="L104" s="10"/>
    </row>
    <row r="105" spans="1:13" x14ac:dyDescent="0.3">
      <c r="A105" s="20"/>
      <c r="B105" s="5"/>
      <c r="C105" s="5"/>
      <c r="D105" s="5"/>
      <c r="E105" s="5"/>
      <c r="F105" s="6"/>
      <c r="G105" s="6"/>
      <c r="H105" s="6"/>
      <c r="I105" s="6">
        <f t="shared" si="2"/>
        <v>0</v>
      </c>
      <c r="J105" s="6">
        <f t="shared" si="0"/>
        <v>0</v>
      </c>
      <c r="K105" s="9">
        <f t="shared" si="1"/>
        <v>0</v>
      </c>
      <c r="L105" s="10"/>
      <c r="M105" s="19"/>
    </row>
    <row r="106" spans="1:13" x14ac:dyDescent="0.3">
      <c r="A106" s="20"/>
      <c r="B106" s="5"/>
      <c r="C106" s="5"/>
      <c r="D106" s="5"/>
      <c r="E106" s="5"/>
      <c r="F106" s="6"/>
      <c r="G106" s="6"/>
      <c r="H106" s="6"/>
      <c r="I106" s="6">
        <f t="shared" si="2"/>
        <v>0</v>
      </c>
      <c r="J106" s="6">
        <f t="shared" si="0"/>
        <v>0</v>
      </c>
      <c r="K106" s="9">
        <f t="shared" si="1"/>
        <v>0</v>
      </c>
      <c r="L106" s="10"/>
    </row>
    <row r="107" spans="1:13" x14ac:dyDescent="0.3">
      <c r="A107" s="20"/>
      <c r="B107" s="5"/>
      <c r="C107" s="5"/>
      <c r="D107" s="5"/>
      <c r="E107" s="5"/>
      <c r="F107" s="6"/>
      <c r="G107" s="6"/>
      <c r="H107" s="6"/>
      <c r="I107" s="6">
        <f t="shared" si="2"/>
        <v>0</v>
      </c>
      <c r="J107" s="6">
        <f t="shared" si="0"/>
        <v>0</v>
      </c>
      <c r="K107" s="9">
        <f t="shared" si="1"/>
        <v>0</v>
      </c>
      <c r="L107" s="10"/>
    </row>
    <row r="108" spans="1:13" x14ac:dyDescent="0.3">
      <c r="A108" s="20"/>
      <c r="B108" s="5"/>
      <c r="C108" s="5"/>
      <c r="D108" s="5"/>
      <c r="E108" s="5"/>
      <c r="F108" s="6"/>
      <c r="G108" s="6"/>
      <c r="H108" s="6"/>
      <c r="I108" s="6">
        <f t="shared" si="2"/>
        <v>0</v>
      </c>
      <c r="J108" s="6">
        <f t="shared" si="0"/>
        <v>0</v>
      </c>
      <c r="K108" s="9">
        <f t="shared" si="1"/>
        <v>0</v>
      </c>
      <c r="L108" s="10"/>
      <c r="M108" s="19"/>
    </row>
    <row r="109" spans="1:13" x14ac:dyDescent="0.3">
      <c r="A109" s="20"/>
      <c r="B109" s="5"/>
      <c r="C109" s="5"/>
      <c r="D109" s="5"/>
      <c r="E109" s="5"/>
      <c r="F109" s="6"/>
      <c r="G109" s="6"/>
      <c r="H109" s="6"/>
      <c r="I109" s="6">
        <f t="shared" si="2"/>
        <v>0</v>
      </c>
      <c r="J109" s="6">
        <f t="shared" si="0"/>
        <v>0</v>
      </c>
      <c r="K109" s="9">
        <f t="shared" si="1"/>
        <v>0</v>
      </c>
      <c r="L109" s="10"/>
    </row>
    <row r="110" spans="1:13" x14ac:dyDescent="0.3">
      <c r="A110" s="20"/>
      <c r="B110" s="5"/>
      <c r="C110" s="5"/>
      <c r="D110" s="5"/>
      <c r="E110" s="5"/>
      <c r="F110" s="6"/>
      <c r="G110" s="6"/>
      <c r="H110" s="6"/>
      <c r="I110" s="6">
        <f t="shared" si="2"/>
        <v>0</v>
      </c>
      <c r="J110" s="6">
        <f t="shared" si="0"/>
        <v>0</v>
      </c>
      <c r="K110" s="9">
        <f t="shared" si="1"/>
        <v>0</v>
      </c>
      <c r="L110" s="10"/>
    </row>
    <row r="111" spans="1:13" x14ac:dyDescent="0.3">
      <c r="A111" s="20"/>
      <c r="B111" s="5"/>
      <c r="C111" s="5"/>
      <c r="D111" s="14"/>
      <c r="E111" s="5"/>
      <c r="F111" s="6"/>
      <c r="G111" s="6"/>
      <c r="H111" s="6"/>
      <c r="I111" s="6">
        <f t="shared" si="2"/>
        <v>0</v>
      </c>
      <c r="J111" s="6">
        <f t="shared" si="0"/>
        <v>0</v>
      </c>
      <c r="K111" s="9">
        <f t="shared" si="1"/>
        <v>0</v>
      </c>
      <c r="L111" s="10"/>
      <c r="M111" s="19"/>
    </row>
    <row r="112" spans="1:13" x14ac:dyDescent="0.3">
      <c r="A112" s="20"/>
      <c r="B112" s="5"/>
      <c r="C112" s="5"/>
      <c r="D112" s="5"/>
      <c r="E112" s="5"/>
      <c r="F112" s="6"/>
      <c r="G112" s="6"/>
      <c r="H112" s="6"/>
      <c r="I112" s="6">
        <f t="shared" si="2"/>
        <v>0</v>
      </c>
      <c r="J112" s="6">
        <f t="shared" si="0"/>
        <v>0</v>
      </c>
      <c r="K112" s="9">
        <f t="shared" si="1"/>
        <v>0</v>
      </c>
      <c r="L112" s="10"/>
      <c r="M112" s="19"/>
    </row>
    <row r="113" spans="1:13" x14ac:dyDescent="0.3">
      <c r="A113" s="20"/>
      <c r="B113" s="5"/>
      <c r="C113" s="5"/>
      <c r="D113" s="5"/>
      <c r="E113" s="5"/>
      <c r="F113" s="6"/>
      <c r="G113" s="6"/>
      <c r="H113" s="6"/>
      <c r="I113" s="6">
        <f t="shared" si="2"/>
        <v>0</v>
      </c>
      <c r="J113" s="6">
        <f t="shared" si="0"/>
        <v>0</v>
      </c>
      <c r="K113" s="9">
        <f t="shared" si="1"/>
        <v>0</v>
      </c>
      <c r="L113" s="10"/>
    </row>
    <row r="114" spans="1:13" x14ac:dyDescent="0.3">
      <c r="A114" s="20"/>
      <c r="B114" s="5"/>
      <c r="C114" s="5"/>
      <c r="D114" s="5"/>
      <c r="E114" s="5"/>
      <c r="F114" s="6"/>
      <c r="G114" s="6"/>
      <c r="H114" s="6"/>
      <c r="I114" s="6">
        <f t="shared" si="2"/>
        <v>0</v>
      </c>
      <c r="J114" s="6">
        <f t="shared" si="0"/>
        <v>0</v>
      </c>
      <c r="K114" s="9">
        <f t="shared" si="1"/>
        <v>0</v>
      </c>
      <c r="L114" s="10"/>
    </row>
    <row r="115" spans="1:13" x14ac:dyDescent="0.3">
      <c r="A115" s="20"/>
      <c r="B115" s="5"/>
      <c r="C115" s="5"/>
      <c r="D115" s="5"/>
      <c r="E115" s="5"/>
      <c r="F115" s="6"/>
      <c r="G115" s="6"/>
      <c r="H115" s="6"/>
      <c r="I115" s="6">
        <f t="shared" si="2"/>
        <v>0</v>
      </c>
      <c r="J115" s="6">
        <f t="shared" si="0"/>
        <v>0</v>
      </c>
      <c r="K115" s="9">
        <f t="shared" si="1"/>
        <v>0</v>
      </c>
      <c r="L115" s="10"/>
    </row>
    <row r="116" spans="1:13" x14ac:dyDescent="0.3">
      <c r="A116" s="20"/>
      <c r="B116" s="5"/>
      <c r="C116" s="5"/>
      <c r="D116" s="5"/>
      <c r="E116" s="5"/>
      <c r="F116" s="6"/>
      <c r="G116" s="6"/>
      <c r="H116" s="6"/>
      <c r="I116" s="6">
        <f t="shared" si="2"/>
        <v>0</v>
      </c>
      <c r="J116" s="6">
        <f t="shared" si="0"/>
        <v>0</v>
      </c>
      <c r="K116" s="9">
        <f t="shared" si="1"/>
        <v>0</v>
      </c>
      <c r="L116" s="10"/>
    </row>
    <row r="117" spans="1:13" x14ac:dyDescent="0.3">
      <c r="A117" s="20"/>
      <c r="B117" s="5"/>
      <c r="C117" s="5"/>
      <c r="D117" s="5"/>
      <c r="E117" s="5"/>
      <c r="F117" s="6"/>
      <c r="G117" s="6"/>
      <c r="H117" s="6"/>
      <c r="I117" s="6">
        <f t="shared" si="2"/>
        <v>0</v>
      </c>
      <c r="J117" s="6">
        <f t="shared" si="0"/>
        <v>0</v>
      </c>
      <c r="K117" s="9">
        <f t="shared" si="1"/>
        <v>0</v>
      </c>
      <c r="L117" s="10"/>
    </row>
    <row r="118" spans="1:13" x14ac:dyDescent="0.3">
      <c r="A118" s="20"/>
      <c r="B118" s="5"/>
      <c r="C118" s="5"/>
      <c r="D118" s="5"/>
      <c r="E118" s="5"/>
      <c r="F118" s="6"/>
      <c r="G118" s="6"/>
      <c r="H118" s="6"/>
      <c r="I118" s="6">
        <f t="shared" si="2"/>
        <v>0</v>
      </c>
      <c r="J118" s="6">
        <f t="shared" si="0"/>
        <v>0</v>
      </c>
      <c r="K118" s="9">
        <f t="shared" si="1"/>
        <v>0</v>
      </c>
      <c r="L118" s="10"/>
    </row>
    <row r="119" spans="1:13" x14ac:dyDescent="0.3">
      <c r="A119" s="20"/>
      <c r="B119" s="5"/>
      <c r="C119" s="5"/>
      <c r="D119" s="5"/>
      <c r="E119" s="5"/>
      <c r="F119" s="6"/>
      <c r="G119" s="6"/>
      <c r="H119" s="6"/>
      <c r="I119" s="6">
        <f t="shared" si="2"/>
        <v>0</v>
      </c>
      <c r="J119" s="6">
        <f t="shared" si="0"/>
        <v>0</v>
      </c>
      <c r="K119" s="9">
        <f t="shared" si="1"/>
        <v>0</v>
      </c>
      <c r="L119" s="10"/>
      <c r="M119" s="19"/>
    </row>
    <row r="120" spans="1:13" x14ac:dyDescent="0.3">
      <c r="A120" s="20"/>
      <c r="B120" s="5"/>
      <c r="C120" s="5"/>
      <c r="D120" s="5"/>
      <c r="E120" s="5"/>
      <c r="F120" s="6"/>
      <c r="G120" s="6"/>
      <c r="H120" s="6"/>
      <c r="I120" s="6">
        <f t="shared" si="2"/>
        <v>0</v>
      </c>
      <c r="J120" s="6">
        <f t="shared" si="0"/>
        <v>0</v>
      </c>
      <c r="K120" s="9">
        <f t="shared" si="1"/>
        <v>0</v>
      </c>
      <c r="L120" s="10"/>
    </row>
    <row r="121" spans="1:13" x14ac:dyDescent="0.3">
      <c r="A121" s="20"/>
      <c r="B121" s="5"/>
      <c r="C121" s="5"/>
      <c r="D121" s="14"/>
      <c r="E121" s="5"/>
      <c r="F121" s="6"/>
      <c r="G121" s="6"/>
      <c r="H121" s="6"/>
      <c r="I121" s="6">
        <f t="shared" si="2"/>
        <v>0</v>
      </c>
      <c r="J121" s="6">
        <f t="shared" si="0"/>
        <v>0</v>
      </c>
      <c r="K121" s="9">
        <f t="shared" si="1"/>
        <v>0</v>
      </c>
      <c r="L121" s="10"/>
    </row>
    <row r="122" spans="1:13" x14ac:dyDescent="0.3">
      <c r="A122" s="20"/>
      <c r="B122" s="5"/>
      <c r="C122" s="5"/>
      <c r="D122" s="5"/>
      <c r="E122" s="5"/>
      <c r="F122" s="6"/>
      <c r="G122" s="6"/>
      <c r="H122" s="6"/>
      <c r="I122" s="6">
        <f t="shared" si="2"/>
        <v>0</v>
      </c>
      <c r="J122" s="6">
        <f t="shared" si="0"/>
        <v>0</v>
      </c>
      <c r="K122" s="9">
        <f t="shared" si="1"/>
        <v>0</v>
      </c>
      <c r="L122" s="10"/>
      <c r="M122" s="19"/>
    </row>
    <row r="123" spans="1:13" x14ac:dyDescent="0.3">
      <c r="A123" s="20"/>
      <c r="B123" s="5"/>
      <c r="C123" s="5"/>
      <c r="D123" s="5"/>
      <c r="E123" s="5"/>
      <c r="F123" s="6"/>
      <c r="G123" s="6"/>
      <c r="H123" s="6"/>
      <c r="I123" s="6">
        <f t="shared" si="2"/>
        <v>0</v>
      </c>
      <c r="J123" s="6">
        <f t="shared" si="0"/>
        <v>0</v>
      </c>
      <c r="K123" s="9">
        <f t="shared" si="1"/>
        <v>0</v>
      </c>
      <c r="L123" s="10"/>
      <c r="M123" s="19"/>
    </row>
    <row r="124" spans="1:13" x14ac:dyDescent="0.3">
      <c r="A124" s="20"/>
      <c r="B124" s="5"/>
      <c r="C124" s="5"/>
      <c r="D124" s="5"/>
      <c r="E124" s="5"/>
      <c r="F124" s="6"/>
      <c r="G124" s="6"/>
      <c r="H124" s="6"/>
      <c r="I124" s="6">
        <f t="shared" si="2"/>
        <v>0</v>
      </c>
      <c r="J124" s="6">
        <f t="shared" si="0"/>
        <v>0</v>
      </c>
      <c r="K124" s="9">
        <f t="shared" si="1"/>
        <v>0</v>
      </c>
      <c r="L124" s="10"/>
      <c r="M124" s="19"/>
    </row>
    <row r="125" spans="1:13" x14ac:dyDescent="0.3">
      <c r="A125" s="20"/>
      <c r="B125" s="5"/>
      <c r="C125" s="5"/>
      <c r="D125" s="5"/>
      <c r="E125" s="5"/>
      <c r="F125" s="6"/>
      <c r="G125" s="6"/>
      <c r="H125" s="6"/>
      <c r="I125" s="6">
        <f t="shared" si="2"/>
        <v>0</v>
      </c>
      <c r="J125" s="6">
        <f t="shared" si="0"/>
        <v>0</v>
      </c>
      <c r="K125" s="9">
        <f t="shared" si="1"/>
        <v>0</v>
      </c>
      <c r="L125" s="10"/>
    </row>
    <row r="126" spans="1:13" x14ac:dyDescent="0.3">
      <c r="A126" s="20"/>
      <c r="B126" s="5"/>
      <c r="C126" s="5"/>
      <c r="D126" s="5"/>
      <c r="E126" s="5"/>
      <c r="F126" s="6"/>
      <c r="G126" s="6"/>
      <c r="H126" s="6"/>
      <c r="I126" s="6">
        <f t="shared" si="2"/>
        <v>0</v>
      </c>
      <c r="J126" s="6">
        <f t="shared" si="0"/>
        <v>0</v>
      </c>
      <c r="K126" s="9">
        <f t="shared" si="1"/>
        <v>0</v>
      </c>
      <c r="L126" s="10"/>
    </row>
    <row r="127" spans="1:13" x14ac:dyDescent="0.3">
      <c r="A127" s="20"/>
      <c r="B127" s="5"/>
      <c r="C127" s="5"/>
      <c r="D127" s="5"/>
      <c r="E127" s="5"/>
      <c r="F127" s="6"/>
      <c r="G127" s="6"/>
      <c r="H127" s="6"/>
      <c r="I127" s="6">
        <f t="shared" si="2"/>
        <v>0</v>
      </c>
      <c r="J127" s="6">
        <f t="shared" si="0"/>
        <v>0</v>
      </c>
      <c r="K127" s="9">
        <f t="shared" si="1"/>
        <v>0</v>
      </c>
      <c r="L127" s="10"/>
    </row>
    <row r="128" spans="1:13" x14ac:dyDescent="0.3">
      <c r="A128" s="20"/>
      <c r="B128" s="5"/>
      <c r="C128" s="5"/>
      <c r="D128" s="5"/>
      <c r="E128" s="5"/>
      <c r="F128" s="6"/>
      <c r="G128" s="6"/>
      <c r="H128" s="6"/>
      <c r="I128" s="6">
        <f t="shared" si="2"/>
        <v>0</v>
      </c>
      <c r="J128" s="6">
        <f t="shared" si="0"/>
        <v>0</v>
      </c>
      <c r="K128" s="9">
        <f t="shared" si="1"/>
        <v>0</v>
      </c>
      <c r="L128" s="10"/>
    </row>
    <row r="129" spans="1:13" x14ac:dyDescent="0.3">
      <c r="A129" s="20"/>
      <c r="B129" s="5"/>
      <c r="C129" s="5"/>
      <c r="D129" s="5"/>
      <c r="E129" s="5"/>
      <c r="F129" s="6"/>
      <c r="G129" s="6"/>
      <c r="H129" s="6"/>
      <c r="I129" s="6">
        <f t="shared" si="2"/>
        <v>0</v>
      </c>
      <c r="J129" s="6">
        <f t="shared" si="0"/>
        <v>0</v>
      </c>
      <c r="K129" s="9">
        <f t="shared" si="1"/>
        <v>0</v>
      </c>
      <c r="L129" s="10"/>
      <c r="M129" s="19"/>
    </row>
    <row r="130" spans="1:13" x14ac:dyDescent="0.3">
      <c r="A130" s="20"/>
      <c r="B130" s="5"/>
      <c r="C130" s="5"/>
      <c r="D130" s="5"/>
      <c r="E130" s="5"/>
      <c r="F130" s="6"/>
      <c r="G130" s="6"/>
      <c r="H130" s="6"/>
      <c r="I130" s="6">
        <f t="shared" si="2"/>
        <v>0</v>
      </c>
      <c r="J130" s="6">
        <f t="shared" si="0"/>
        <v>0</v>
      </c>
      <c r="K130" s="9">
        <f t="shared" si="1"/>
        <v>0</v>
      </c>
      <c r="L130" s="10"/>
    </row>
    <row r="131" spans="1:13" x14ac:dyDescent="0.3">
      <c r="A131" s="20"/>
      <c r="B131" s="5"/>
      <c r="C131" s="5"/>
      <c r="D131" s="5"/>
      <c r="E131" s="5"/>
      <c r="F131" s="6"/>
      <c r="G131" s="6"/>
      <c r="H131" s="6"/>
      <c r="I131" s="6">
        <f t="shared" si="2"/>
        <v>0</v>
      </c>
      <c r="J131" s="6">
        <f t="shared" si="0"/>
        <v>0</v>
      </c>
      <c r="K131" s="9">
        <f t="shared" si="1"/>
        <v>0</v>
      </c>
      <c r="L131" s="10"/>
    </row>
    <row r="132" spans="1:13" x14ac:dyDescent="0.3">
      <c r="A132" s="20"/>
      <c r="B132" s="5"/>
      <c r="C132" s="5"/>
      <c r="D132" s="5"/>
      <c r="E132" s="5"/>
      <c r="F132" s="6"/>
      <c r="G132" s="6"/>
      <c r="H132" s="6"/>
      <c r="I132" s="6">
        <f t="shared" si="2"/>
        <v>0</v>
      </c>
      <c r="J132" s="6">
        <f t="shared" si="0"/>
        <v>0</v>
      </c>
      <c r="K132" s="9">
        <f t="shared" si="1"/>
        <v>0</v>
      </c>
      <c r="L132" s="10"/>
    </row>
    <row r="133" spans="1:13" x14ac:dyDescent="0.3">
      <c r="A133" s="20"/>
      <c r="B133" s="5"/>
      <c r="C133" s="5"/>
      <c r="D133" s="5"/>
      <c r="E133" s="5"/>
      <c r="F133" s="6"/>
      <c r="G133" s="6"/>
      <c r="H133" s="6"/>
      <c r="I133" s="6">
        <f t="shared" si="2"/>
        <v>0</v>
      </c>
      <c r="J133" s="6">
        <f t="shared" si="0"/>
        <v>0</v>
      </c>
      <c r="K133" s="9">
        <f t="shared" si="1"/>
        <v>0</v>
      </c>
      <c r="L133" s="10"/>
    </row>
    <row r="134" spans="1:13" x14ac:dyDescent="0.3">
      <c r="A134" s="20"/>
      <c r="B134" s="5"/>
      <c r="C134" s="5"/>
      <c r="D134" s="5"/>
      <c r="E134" s="5"/>
      <c r="F134" s="6"/>
      <c r="G134" s="6"/>
      <c r="H134" s="6"/>
      <c r="I134" s="6">
        <f t="shared" si="2"/>
        <v>0</v>
      </c>
      <c r="J134" s="6">
        <f t="shared" si="0"/>
        <v>0</v>
      </c>
      <c r="K134" s="9">
        <f t="shared" si="1"/>
        <v>0</v>
      </c>
      <c r="L134" s="10"/>
    </row>
    <row r="135" spans="1:13" x14ac:dyDescent="0.3">
      <c r="A135" s="20"/>
      <c r="B135" s="5"/>
      <c r="C135" s="5"/>
      <c r="D135" s="5"/>
      <c r="E135" s="5"/>
      <c r="F135" s="6"/>
      <c r="G135" s="6"/>
      <c r="H135" s="6"/>
      <c r="I135" s="6">
        <f t="shared" si="2"/>
        <v>0</v>
      </c>
      <c r="J135" s="6">
        <f t="shared" si="0"/>
        <v>0</v>
      </c>
      <c r="K135" s="9">
        <f t="shared" si="1"/>
        <v>0</v>
      </c>
      <c r="L135" s="10"/>
    </row>
    <row r="136" spans="1:13" x14ac:dyDescent="0.3">
      <c r="A136" s="20"/>
      <c r="B136" s="5"/>
      <c r="C136" s="5"/>
      <c r="D136" s="5"/>
      <c r="E136" s="5"/>
      <c r="F136" s="6"/>
      <c r="G136" s="6"/>
      <c r="H136" s="6"/>
      <c r="I136" s="6">
        <f t="shared" si="2"/>
        <v>0</v>
      </c>
      <c r="J136" s="6">
        <f t="shared" si="0"/>
        <v>0</v>
      </c>
      <c r="K136" s="9">
        <f t="shared" si="1"/>
        <v>0</v>
      </c>
      <c r="L136" s="10"/>
    </row>
    <row r="137" spans="1:13" x14ac:dyDescent="0.3">
      <c r="A137" s="20"/>
      <c r="B137" s="5"/>
      <c r="C137" s="5"/>
      <c r="D137" s="5"/>
      <c r="E137" s="5"/>
      <c r="F137" s="6"/>
      <c r="G137" s="6"/>
      <c r="H137" s="6"/>
      <c r="I137" s="6">
        <f t="shared" si="2"/>
        <v>0</v>
      </c>
      <c r="J137" s="6">
        <f t="shared" si="0"/>
        <v>0</v>
      </c>
      <c r="K137" s="9">
        <f t="shared" si="1"/>
        <v>0</v>
      </c>
      <c r="L137" s="10"/>
      <c r="M137" s="19"/>
    </row>
    <row r="138" spans="1:13" x14ac:dyDescent="0.3">
      <c r="A138" s="20"/>
      <c r="B138" s="5"/>
      <c r="C138" s="5"/>
      <c r="D138" s="5"/>
      <c r="E138" s="5"/>
      <c r="F138" s="6"/>
      <c r="G138" s="6"/>
      <c r="H138" s="6"/>
      <c r="I138" s="6">
        <f t="shared" si="2"/>
        <v>0</v>
      </c>
      <c r="J138" s="6">
        <f t="shared" si="0"/>
        <v>0</v>
      </c>
      <c r="K138" s="9">
        <f t="shared" si="1"/>
        <v>0</v>
      </c>
      <c r="L138" s="10"/>
    </row>
    <row r="139" spans="1:13" x14ac:dyDescent="0.3">
      <c r="A139" s="20"/>
      <c r="B139" s="5"/>
      <c r="C139" s="5"/>
      <c r="D139" s="5"/>
      <c r="E139" s="5"/>
      <c r="F139" s="6"/>
      <c r="G139" s="6"/>
      <c r="H139" s="6"/>
      <c r="I139" s="6">
        <f t="shared" si="2"/>
        <v>0</v>
      </c>
      <c r="J139" s="6">
        <f t="shared" si="0"/>
        <v>0</v>
      </c>
      <c r="K139" s="9">
        <f t="shared" si="1"/>
        <v>0</v>
      </c>
      <c r="L139" s="10"/>
    </row>
    <row r="140" spans="1:13" x14ac:dyDescent="0.3">
      <c r="A140" s="20"/>
      <c r="B140" s="5"/>
      <c r="C140" s="5"/>
      <c r="D140" s="5"/>
      <c r="E140" s="5"/>
      <c r="F140" s="6"/>
      <c r="G140" s="6"/>
      <c r="H140" s="6"/>
      <c r="I140" s="6">
        <f t="shared" si="2"/>
        <v>0</v>
      </c>
      <c r="J140" s="6">
        <f t="shared" si="0"/>
        <v>0</v>
      </c>
      <c r="K140" s="9">
        <f t="shared" si="1"/>
        <v>0</v>
      </c>
      <c r="L140" s="10"/>
    </row>
    <row r="141" spans="1:13" x14ac:dyDescent="0.3">
      <c r="A141" s="20"/>
      <c r="B141" s="5"/>
      <c r="C141" s="5"/>
      <c r="D141" s="5"/>
      <c r="E141" s="5"/>
      <c r="F141" s="6"/>
      <c r="G141" s="6"/>
      <c r="H141" s="6"/>
      <c r="I141" s="6">
        <f t="shared" si="2"/>
        <v>0</v>
      </c>
      <c r="J141" s="6">
        <f t="shared" si="0"/>
        <v>0</v>
      </c>
      <c r="K141" s="9">
        <f t="shared" si="1"/>
        <v>0</v>
      </c>
      <c r="L141" s="10"/>
    </row>
    <row r="142" spans="1:13" x14ac:dyDescent="0.3">
      <c r="A142" s="20"/>
      <c r="B142" s="5"/>
      <c r="C142" s="5"/>
      <c r="D142" s="5"/>
      <c r="E142" s="5"/>
      <c r="F142" s="6"/>
      <c r="G142" s="6"/>
      <c r="H142" s="6"/>
      <c r="I142" s="6">
        <f t="shared" si="2"/>
        <v>0</v>
      </c>
      <c r="J142" s="6">
        <f t="shared" si="0"/>
        <v>0</v>
      </c>
      <c r="K142" s="9">
        <f t="shared" si="1"/>
        <v>0</v>
      </c>
      <c r="L142" s="10"/>
    </row>
    <row r="143" spans="1:13" x14ac:dyDescent="0.3">
      <c r="A143" s="20"/>
      <c r="B143" s="5"/>
      <c r="C143" s="5"/>
      <c r="D143" s="5"/>
      <c r="E143" s="5"/>
      <c r="F143" s="6"/>
      <c r="G143" s="6"/>
      <c r="H143" s="6"/>
      <c r="I143" s="6">
        <f t="shared" si="2"/>
        <v>0</v>
      </c>
      <c r="J143" s="6">
        <f t="shared" si="0"/>
        <v>0</v>
      </c>
      <c r="K143" s="9">
        <f t="shared" si="1"/>
        <v>0</v>
      </c>
      <c r="L143" s="10"/>
    </row>
    <row r="144" spans="1:13" x14ac:dyDescent="0.3">
      <c r="A144" s="20"/>
      <c r="B144" s="5"/>
      <c r="C144" s="5"/>
      <c r="D144" s="5"/>
      <c r="E144" s="5"/>
      <c r="F144" s="6"/>
      <c r="G144" s="6"/>
      <c r="H144" s="6"/>
      <c r="I144" s="6">
        <f t="shared" si="2"/>
        <v>0</v>
      </c>
      <c r="J144" s="6">
        <f t="shared" si="0"/>
        <v>0</v>
      </c>
      <c r="K144" s="9">
        <f t="shared" si="1"/>
        <v>0</v>
      </c>
      <c r="L144" s="10"/>
    </row>
    <row r="145" spans="1:13" x14ac:dyDescent="0.3">
      <c r="A145" s="20"/>
      <c r="B145" s="5"/>
      <c r="C145" s="5"/>
      <c r="D145" s="5"/>
      <c r="E145" s="5"/>
      <c r="F145" s="6"/>
      <c r="G145" s="6"/>
      <c r="H145" s="6"/>
      <c r="I145" s="6">
        <f t="shared" si="2"/>
        <v>0</v>
      </c>
      <c r="J145" s="6">
        <f t="shared" si="0"/>
        <v>0</v>
      </c>
      <c r="K145" s="9">
        <f t="shared" si="1"/>
        <v>0</v>
      </c>
      <c r="L145" s="10"/>
    </row>
    <row r="146" spans="1:13" x14ac:dyDescent="0.3">
      <c r="A146" s="20"/>
      <c r="B146" s="5"/>
      <c r="C146" s="5"/>
      <c r="D146" s="14"/>
      <c r="E146" s="5"/>
      <c r="F146" s="6"/>
      <c r="G146" s="6"/>
      <c r="H146" s="6"/>
      <c r="I146" s="6">
        <f t="shared" si="2"/>
        <v>0</v>
      </c>
      <c r="J146" s="6">
        <f t="shared" si="0"/>
        <v>0</v>
      </c>
      <c r="K146" s="9">
        <f t="shared" si="1"/>
        <v>0</v>
      </c>
      <c r="L146" s="10"/>
    </row>
    <row r="147" spans="1:13" x14ac:dyDescent="0.3">
      <c r="A147" s="20"/>
      <c r="B147" s="5"/>
      <c r="C147" s="5"/>
      <c r="D147" s="5"/>
      <c r="E147" s="5"/>
      <c r="F147" s="6"/>
      <c r="G147" s="6"/>
      <c r="H147" s="6"/>
      <c r="I147" s="6">
        <f t="shared" si="2"/>
        <v>0</v>
      </c>
      <c r="J147" s="6">
        <f t="shared" si="0"/>
        <v>0</v>
      </c>
      <c r="K147" s="9">
        <f t="shared" si="1"/>
        <v>0</v>
      </c>
      <c r="L147" s="10"/>
    </row>
    <row r="148" spans="1:13" x14ac:dyDescent="0.3">
      <c r="A148" s="20"/>
      <c r="B148" s="5"/>
      <c r="C148" s="5"/>
      <c r="D148" s="5"/>
      <c r="E148" s="5"/>
      <c r="F148" s="6"/>
      <c r="G148" s="6"/>
      <c r="H148" s="6"/>
      <c r="I148" s="6">
        <f t="shared" si="2"/>
        <v>0</v>
      </c>
      <c r="J148" s="6">
        <f t="shared" si="0"/>
        <v>0</v>
      </c>
      <c r="K148" s="9">
        <f t="shared" si="1"/>
        <v>0</v>
      </c>
      <c r="L148" s="10"/>
    </row>
    <row r="149" spans="1:13" x14ac:dyDescent="0.3">
      <c r="A149" s="20"/>
      <c r="B149" s="5"/>
      <c r="C149" s="5"/>
      <c r="D149" s="5"/>
      <c r="E149" s="5"/>
      <c r="F149" s="6"/>
      <c r="G149" s="6"/>
      <c r="H149" s="6"/>
      <c r="I149" s="6">
        <f t="shared" si="2"/>
        <v>0</v>
      </c>
      <c r="J149" s="6">
        <f t="shared" si="0"/>
        <v>0</v>
      </c>
      <c r="K149" s="9">
        <f t="shared" si="1"/>
        <v>0</v>
      </c>
      <c r="L149" s="10"/>
    </row>
    <row r="150" spans="1:13" x14ac:dyDescent="0.3">
      <c r="A150" s="20"/>
      <c r="B150" s="5"/>
      <c r="C150" s="5"/>
      <c r="D150" s="14"/>
      <c r="E150" s="5"/>
      <c r="F150" s="6"/>
      <c r="G150" s="6"/>
      <c r="H150" s="6"/>
      <c r="I150" s="6">
        <f t="shared" si="2"/>
        <v>0</v>
      </c>
      <c r="J150" s="6">
        <f t="shared" si="0"/>
        <v>0</v>
      </c>
      <c r="K150" s="9">
        <f t="shared" si="1"/>
        <v>0</v>
      </c>
      <c r="L150" s="10"/>
    </row>
    <row r="151" spans="1:13" x14ac:dyDescent="0.3">
      <c r="A151" s="20"/>
      <c r="B151" s="5"/>
      <c r="C151" s="5"/>
      <c r="D151" s="5"/>
      <c r="E151" s="5"/>
      <c r="F151" s="6"/>
      <c r="G151" s="6"/>
      <c r="H151" s="6"/>
      <c r="I151" s="6">
        <f t="shared" si="2"/>
        <v>0</v>
      </c>
      <c r="J151" s="6">
        <f t="shared" si="0"/>
        <v>0</v>
      </c>
      <c r="K151" s="9">
        <f t="shared" si="1"/>
        <v>0</v>
      </c>
      <c r="L151" s="10"/>
    </row>
    <row r="152" spans="1:13" x14ac:dyDescent="0.3">
      <c r="A152" s="20"/>
      <c r="B152" s="5"/>
      <c r="C152" s="5"/>
      <c r="D152" s="5"/>
      <c r="E152" s="5"/>
      <c r="F152" s="6"/>
      <c r="G152" s="6"/>
      <c r="H152" s="6"/>
      <c r="I152" s="6">
        <f t="shared" si="2"/>
        <v>0</v>
      </c>
      <c r="J152" s="6">
        <f t="shared" si="0"/>
        <v>0</v>
      </c>
      <c r="K152" s="9">
        <f t="shared" si="1"/>
        <v>0</v>
      </c>
      <c r="L152" s="10"/>
      <c r="M152" s="19"/>
    </row>
    <row r="153" spans="1:13" x14ac:dyDescent="0.3">
      <c r="A153" s="20"/>
      <c r="B153" s="5"/>
      <c r="C153" s="5"/>
      <c r="D153" s="5"/>
      <c r="E153" s="5"/>
      <c r="F153" s="6"/>
      <c r="G153" s="6"/>
      <c r="H153" s="6"/>
      <c r="I153" s="6">
        <f t="shared" si="2"/>
        <v>0</v>
      </c>
      <c r="J153" s="6">
        <f t="shared" si="0"/>
        <v>0</v>
      </c>
      <c r="K153" s="9">
        <f t="shared" si="1"/>
        <v>0</v>
      </c>
      <c r="L153" s="10"/>
      <c r="M153" s="19"/>
    </row>
    <row r="154" spans="1:13" x14ac:dyDescent="0.3">
      <c r="A154" s="20"/>
      <c r="B154" s="5"/>
      <c r="C154" s="5"/>
      <c r="D154" s="5"/>
      <c r="E154" s="5"/>
      <c r="F154" s="6"/>
      <c r="G154" s="6"/>
      <c r="H154" s="6"/>
      <c r="I154" s="6">
        <f t="shared" si="2"/>
        <v>0</v>
      </c>
      <c r="J154" s="6">
        <f t="shared" si="0"/>
        <v>0</v>
      </c>
      <c r="K154" s="9">
        <f t="shared" si="1"/>
        <v>0</v>
      </c>
      <c r="L154" s="10"/>
    </row>
    <row r="155" spans="1:13" x14ac:dyDescent="0.3">
      <c r="A155" s="20"/>
      <c r="B155" s="5"/>
      <c r="C155" s="5"/>
      <c r="D155" s="5"/>
      <c r="E155" s="5"/>
      <c r="F155" s="6"/>
      <c r="G155" s="6"/>
      <c r="H155" s="6"/>
      <c r="I155" s="6">
        <f t="shared" si="2"/>
        <v>0</v>
      </c>
      <c r="J155" s="6">
        <f t="shared" si="0"/>
        <v>0</v>
      </c>
      <c r="K155" s="9">
        <f t="shared" si="1"/>
        <v>0</v>
      </c>
      <c r="L155" s="10"/>
    </row>
    <row r="156" spans="1:13" x14ac:dyDescent="0.3">
      <c r="A156" s="20"/>
      <c r="B156" s="5"/>
      <c r="C156" s="5"/>
      <c r="D156" s="5"/>
      <c r="E156" s="5"/>
      <c r="F156" s="6"/>
      <c r="G156" s="6"/>
      <c r="H156" s="6"/>
      <c r="I156" s="6">
        <f t="shared" si="2"/>
        <v>0</v>
      </c>
      <c r="J156" s="6">
        <f t="shared" si="0"/>
        <v>0</v>
      </c>
      <c r="K156" s="9">
        <f t="shared" si="1"/>
        <v>0</v>
      </c>
      <c r="L156" s="10"/>
    </row>
    <row r="157" spans="1:13" x14ac:dyDescent="0.3">
      <c r="A157" s="20"/>
      <c r="B157" s="5"/>
      <c r="C157" s="5"/>
      <c r="D157" s="5"/>
      <c r="E157" s="5"/>
      <c r="F157" s="6"/>
      <c r="G157" s="6"/>
      <c r="H157" s="6"/>
      <c r="I157" s="6">
        <f t="shared" si="2"/>
        <v>0</v>
      </c>
      <c r="J157" s="6">
        <f t="shared" si="0"/>
        <v>0</v>
      </c>
      <c r="K157" s="9">
        <f t="shared" si="1"/>
        <v>0</v>
      </c>
      <c r="L157" s="10"/>
    </row>
    <row r="158" spans="1:13" x14ac:dyDescent="0.3">
      <c r="A158" s="20"/>
      <c r="B158" s="5"/>
      <c r="C158" s="5"/>
      <c r="D158" s="5"/>
      <c r="E158" s="5"/>
      <c r="F158" s="6"/>
      <c r="G158" s="6"/>
      <c r="H158" s="6"/>
      <c r="I158" s="6">
        <f t="shared" si="2"/>
        <v>0</v>
      </c>
      <c r="J158" s="6">
        <f t="shared" si="0"/>
        <v>0</v>
      </c>
      <c r="K158" s="9">
        <f t="shared" si="1"/>
        <v>0</v>
      </c>
      <c r="L158" s="10"/>
    </row>
    <row r="159" spans="1:13" x14ac:dyDescent="0.3">
      <c r="A159" s="20"/>
      <c r="B159" s="5"/>
      <c r="C159" s="5"/>
      <c r="D159" s="5"/>
      <c r="E159" s="5"/>
      <c r="F159" s="6"/>
      <c r="G159" s="6"/>
      <c r="H159" s="6"/>
      <c r="I159" s="6">
        <f t="shared" si="2"/>
        <v>0</v>
      </c>
      <c r="J159" s="6">
        <f t="shared" si="0"/>
        <v>0</v>
      </c>
      <c r="K159" s="9">
        <f t="shared" si="1"/>
        <v>0</v>
      </c>
      <c r="L159" s="10"/>
    </row>
    <row r="160" spans="1:13" x14ac:dyDescent="0.3">
      <c r="A160" s="20"/>
      <c r="B160" s="5"/>
      <c r="C160" s="5"/>
      <c r="D160" s="5"/>
      <c r="E160" s="5"/>
      <c r="F160" s="6"/>
      <c r="G160" s="6"/>
      <c r="H160" s="6"/>
      <c r="I160" s="6">
        <f t="shared" si="2"/>
        <v>0</v>
      </c>
      <c r="J160" s="6">
        <f t="shared" si="0"/>
        <v>0</v>
      </c>
      <c r="K160" s="9">
        <f t="shared" si="1"/>
        <v>0</v>
      </c>
      <c r="L160" s="10"/>
    </row>
    <row r="161" spans="1:13" x14ac:dyDescent="0.3">
      <c r="A161" s="20"/>
      <c r="B161" s="5"/>
      <c r="C161" s="5"/>
      <c r="D161" s="5"/>
      <c r="E161" s="5"/>
      <c r="F161" s="6"/>
      <c r="G161" s="6"/>
      <c r="H161" s="6"/>
      <c r="I161" s="6">
        <f t="shared" si="2"/>
        <v>0</v>
      </c>
      <c r="J161" s="6">
        <f t="shared" si="0"/>
        <v>0</v>
      </c>
      <c r="K161" s="9">
        <f t="shared" si="1"/>
        <v>0</v>
      </c>
      <c r="L161" s="10"/>
      <c r="M161" s="19"/>
    </row>
    <row r="162" spans="1:13" x14ac:dyDescent="0.3">
      <c r="A162" s="20"/>
      <c r="B162" s="5"/>
      <c r="C162" s="5"/>
      <c r="D162" s="5"/>
      <c r="E162" s="5"/>
      <c r="F162" s="6"/>
      <c r="G162" s="6"/>
      <c r="H162" s="6"/>
      <c r="I162" s="6">
        <f t="shared" si="2"/>
        <v>0</v>
      </c>
      <c r="J162" s="6">
        <f t="shared" si="0"/>
        <v>0</v>
      </c>
      <c r="K162" s="9">
        <f t="shared" si="1"/>
        <v>0</v>
      </c>
      <c r="L162" s="10"/>
    </row>
    <row r="163" spans="1:13" x14ac:dyDescent="0.3">
      <c r="A163" s="20"/>
      <c r="B163" s="5"/>
      <c r="C163" s="5"/>
      <c r="D163" s="5"/>
      <c r="E163" s="5"/>
      <c r="F163" s="6"/>
      <c r="G163" s="6"/>
      <c r="H163" s="6"/>
      <c r="I163" s="6">
        <f t="shared" si="2"/>
        <v>0</v>
      </c>
      <c r="J163" s="6">
        <f t="shared" si="0"/>
        <v>0</v>
      </c>
      <c r="K163" s="9">
        <f t="shared" si="1"/>
        <v>0</v>
      </c>
      <c r="L163" s="10"/>
    </row>
    <row r="164" spans="1:13" x14ac:dyDescent="0.3">
      <c r="A164" s="20"/>
      <c r="B164" s="5"/>
      <c r="C164" s="5"/>
      <c r="D164" s="5"/>
      <c r="E164" s="5"/>
      <c r="F164" s="6"/>
      <c r="G164" s="6"/>
      <c r="H164" s="6"/>
      <c r="I164" s="6">
        <f t="shared" si="2"/>
        <v>0</v>
      </c>
      <c r="J164" s="6">
        <f t="shared" si="0"/>
        <v>0</v>
      </c>
      <c r="K164" s="9">
        <f t="shared" si="1"/>
        <v>0</v>
      </c>
      <c r="L164" s="10"/>
    </row>
    <row r="165" spans="1:13" x14ac:dyDescent="0.3">
      <c r="A165" s="20"/>
      <c r="B165" s="5"/>
      <c r="C165" s="5"/>
      <c r="D165" s="5"/>
      <c r="E165" s="5"/>
      <c r="F165" s="6"/>
      <c r="G165" s="6"/>
      <c r="H165" s="6"/>
      <c r="I165" s="6">
        <f t="shared" si="2"/>
        <v>0</v>
      </c>
      <c r="J165" s="6">
        <f t="shared" si="0"/>
        <v>0</v>
      </c>
      <c r="K165" s="9">
        <f t="shared" si="1"/>
        <v>0</v>
      </c>
      <c r="L165" s="10"/>
    </row>
    <row r="166" spans="1:13" x14ac:dyDescent="0.3">
      <c r="A166" s="20"/>
      <c r="B166" s="5"/>
      <c r="C166" s="5"/>
      <c r="D166" s="5"/>
      <c r="E166" s="5"/>
      <c r="F166" s="6"/>
      <c r="G166" s="6"/>
      <c r="H166" s="6"/>
      <c r="I166" s="6">
        <f t="shared" si="2"/>
        <v>0</v>
      </c>
      <c r="J166" s="6">
        <f t="shared" si="0"/>
        <v>0</v>
      </c>
      <c r="K166" s="9">
        <f t="shared" si="1"/>
        <v>0</v>
      </c>
      <c r="L166" s="10"/>
    </row>
    <row r="167" spans="1:13" x14ac:dyDescent="0.3">
      <c r="A167" s="20"/>
      <c r="B167" s="5"/>
      <c r="C167" s="5"/>
      <c r="D167" s="5"/>
      <c r="E167" s="5"/>
      <c r="F167" s="6"/>
      <c r="G167" s="6"/>
      <c r="H167" s="6"/>
      <c r="I167" s="6">
        <f t="shared" si="2"/>
        <v>0</v>
      </c>
      <c r="J167" s="6">
        <f t="shared" si="0"/>
        <v>0</v>
      </c>
      <c r="K167" s="9">
        <f t="shared" si="1"/>
        <v>0</v>
      </c>
      <c r="L167" s="10"/>
    </row>
    <row r="168" spans="1:13" x14ac:dyDescent="0.3">
      <c r="A168" s="20"/>
      <c r="B168" s="5"/>
      <c r="C168" s="5"/>
      <c r="D168" s="5"/>
      <c r="E168" s="5"/>
      <c r="F168" s="6"/>
      <c r="G168" s="6"/>
      <c r="H168" s="6"/>
      <c r="I168" s="6">
        <f t="shared" si="2"/>
        <v>0</v>
      </c>
      <c r="J168" s="6">
        <f t="shared" si="0"/>
        <v>0</v>
      </c>
      <c r="K168" s="9">
        <f t="shared" si="1"/>
        <v>0</v>
      </c>
      <c r="L168" s="10"/>
    </row>
    <row r="169" spans="1:13" x14ac:dyDescent="0.3">
      <c r="A169" s="20"/>
      <c r="B169" s="5"/>
      <c r="C169" s="5"/>
      <c r="D169" s="5"/>
      <c r="E169" s="5"/>
      <c r="F169" s="6"/>
      <c r="G169" s="6"/>
      <c r="H169" s="6"/>
      <c r="I169" s="6">
        <f t="shared" si="2"/>
        <v>0</v>
      </c>
      <c r="J169" s="6">
        <f t="shared" si="0"/>
        <v>0</v>
      </c>
      <c r="K169" s="9">
        <f t="shared" si="1"/>
        <v>0</v>
      </c>
      <c r="L169" s="10"/>
    </row>
    <row r="170" spans="1:13" x14ac:dyDescent="0.3">
      <c r="A170" s="20"/>
      <c r="B170" s="5"/>
      <c r="C170" s="5"/>
      <c r="D170" s="5"/>
      <c r="E170" s="5"/>
      <c r="F170" s="6"/>
      <c r="G170" s="6"/>
      <c r="H170" s="6"/>
      <c r="I170" s="6">
        <f t="shared" si="2"/>
        <v>0</v>
      </c>
      <c r="J170" s="6">
        <f t="shared" si="0"/>
        <v>0</v>
      </c>
      <c r="K170" s="9">
        <f t="shared" si="1"/>
        <v>0</v>
      </c>
      <c r="L170" s="10"/>
    </row>
    <row r="171" spans="1:13" x14ac:dyDescent="0.3">
      <c r="A171" s="8"/>
      <c r="B171" s="5"/>
      <c r="C171" s="5"/>
      <c r="D171" s="5"/>
      <c r="E171" s="5"/>
      <c r="F171" s="12">
        <f>SUBTOTAL(9,F3:F170)</f>
        <v>14444</v>
      </c>
      <c r="G171" s="12"/>
      <c r="H171" s="12">
        <f>SUBTOTAL(9,H3:H170)</f>
        <v>38407.820000000007</v>
      </c>
      <c r="I171" s="12">
        <f>SUBTOTAL(9,I3:I170)</f>
        <v>3523648.4000000004</v>
      </c>
      <c r="J171" s="12">
        <f>SUBTOTAL(9,J3:J170)</f>
        <v>528547.26</v>
      </c>
      <c r="K171" s="12">
        <f>SUBTOTAL(9,K3:K170)</f>
        <v>5252201.66</v>
      </c>
      <c r="L171" s="13"/>
    </row>
    <row r="176" spans="1:13" x14ac:dyDescent="0.3">
      <c r="J176" s="77"/>
    </row>
    <row r="178" spans="5:11" x14ac:dyDescent="0.3">
      <c r="J178" s="77"/>
    </row>
    <row r="180" spans="5:11" x14ac:dyDescent="0.3">
      <c r="E180" s="121"/>
      <c r="J180" s="77"/>
    </row>
    <row r="181" spans="5:11" x14ac:dyDescent="0.3">
      <c r="E181" s="121"/>
      <c r="J181" s="117"/>
    </row>
    <row r="182" spans="5:11" x14ac:dyDescent="0.3">
      <c r="E182" s="121"/>
    </row>
    <row r="184" spans="5:11" x14ac:dyDescent="0.3">
      <c r="E184" s="121"/>
      <c r="J184" s="77"/>
      <c r="K184" s="77"/>
    </row>
    <row r="185" spans="5:11" x14ac:dyDescent="0.3">
      <c r="E185" s="116"/>
      <c r="I185" s="118"/>
      <c r="J185" s="77"/>
      <c r="K185" s="77"/>
    </row>
    <row r="186" spans="5:11" x14ac:dyDescent="0.3">
      <c r="J186" s="77"/>
      <c r="K186" s="77"/>
    </row>
    <row r="187" spans="5:11" x14ac:dyDescent="0.3">
      <c r="J187" s="77"/>
      <c r="K187" s="77"/>
    </row>
    <row r="188" spans="5:11" x14ac:dyDescent="0.3">
      <c r="E188" s="119"/>
      <c r="J188" s="119"/>
      <c r="K188" s="119"/>
    </row>
    <row r="189" spans="5:11" x14ac:dyDescent="0.3">
      <c r="E189" s="119"/>
      <c r="J189" s="119"/>
      <c r="K189" s="119"/>
    </row>
    <row r="190" spans="5:11" x14ac:dyDescent="0.3">
      <c r="E190" s="119"/>
      <c r="J190" s="119"/>
      <c r="K190" s="119"/>
    </row>
    <row r="191" spans="5:11" x14ac:dyDescent="0.3">
      <c r="E191" s="119"/>
      <c r="J191" s="117"/>
      <c r="K191" s="120"/>
    </row>
    <row r="192" spans="5:11" x14ac:dyDescent="0.3">
      <c r="E192" s="119"/>
      <c r="J192" s="77"/>
      <c r="K192" s="77"/>
    </row>
    <row r="193" spans="5:11" x14ac:dyDescent="0.3">
      <c r="E193" s="119"/>
      <c r="J193" s="77"/>
      <c r="K193" s="77"/>
    </row>
    <row r="194" spans="5:11" x14ac:dyDescent="0.3">
      <c r="E194" s="119"/>
      <c r="J194" s="77"/>
      <c r="K194" s="77"/>
    </row>
    <row r="195" spans="5:11" x14ac:dyDescent="0.3">
      <c r="E195" s="119"/>
      <c r="J195" s="77"/>
      <c r="K195" s="77"/>
    </row>
    <row r="196" spans="5:11" x14ac:dyDescent="0.3">
      <c r="E196" s="119"/>
      <c r="J196" s="77"/>
      <c r="K196" s="77"/>
    </row>
    <row r="199" spans="5:11" x14ac:dyDescent="0.3">
      <c r="E199" s="121"/>
    </row>
    <row r="200" spans="5:11" x14ac:dyDescent="0.3">
      <c r="E200" s="121"/>
    </row>
    <row r="201" spans="5:11" x14ac:dyDescent="0.3">
      <c r="E201" s="121"/>
    </row>
    <row r="203" spans="5:11" x14ac:dyDescent="0.3">
      <c r="E203" s="121"/>
    </row>
    <row r="204" spans="5:11" x14ac:dyDescent="0.3">
      <c r="E204" s="117"/>
    </row>
  </sheetData>
  <autoFilter ref="B2:M170" xr:uid="{4ED6AABA-378B-4D2B-AFE8-308C59FC741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513C2-E4B1-4F2C-BF53-64FB0F7DF429}">
  <dimension ref="A1:S121"/>
  <sheetViews>
    <sheetView rightToLeft="1" tabSelected="1" workbookViewId="0">
      <pane ySplit="2" topLeftCell="A72" activePane="bottomLeft" state="frozen"/>
      <selection pane="bottomLeft" activeCell="J115" sqref="J115"/>
    </sheetView>
  </sheetViews>
  <sheetFormatPr defaultRowHeight="14.4" x14ac:dyDescent="0.3"/>
  <cols>
    <col min="1" max="1" width="7" bestFit="1" customWidth="1"/>
    <col min="2" max="2" width="7" customWidth="1"/>
    <col min="3" max="3" width="10.88671875" bestFit="1" customWidth="1"/>
    <col min="4" max="4" width="10.6640625" bestFit="1" customWidth="1"/>
    <col min="5" max="5" width="25.109375" bestFit="1" customWidth="1"/>
    <col min="6" max="6" width="26.44140625" customWidth="1"/>
    <col min="7" max="7" width="8.5546875" bestFit="1" customWidth="1"/>
    <col min="8" max="8" width="6.21875" bestFit="1" customWidth="1"/>
    <col min="10" max="10" width="12.21875" bestFit="1" customWidth="1"/>
    <col min="11" max="11" width="13.33203125" bestFit="1" customWidth="1"/>
    <col min="12" max="12" width="12.44140625" bestFit="1" customWidth="1"/>
    <col min="13" max="13" width="13.21875" bestFit="1" customWidth="1"/>
    <col min="14" max="15" width="11.44140625" bestFit="1" customWidth="1"/>
    <col min="16" max="16" width="19.21875" bestFit="1" customWidth="1"/>
  </cols>
  <sheetData>
    <row r="1" spans="1:19" ht="21" x14ac:dyDescent="0.3">
      <c r="F1" s="26" t="s">
        <v>31</v>
      </c>
    </row>
    <row r="2" spans="1:19" ht="28.8" x14ac:dyDescent="0.3">
      <c r="A2" s="27" t="s">
        <v>0</v>
      </c>
      <c r="B2" s="27"/>
      <c r="C2" s="27" t="s">
        <v>32</v>
      </c>
      <c r="D2" s="27" t="s">
        <v>1</v>
      </c>
      <c r="E2" s="27" t="s">
        <v>33</v>
      </c>
      <c r="F2" s="27" t="s">
        <v>34</v>
      </c>
      <c r="G2" s="27" t="s">
        <v>35</v>
      </c>
      <c r="H2" s="28" t="s">
        <v>17</v>
      </c>
      <c r="I2" s="27" t="s">
        <v>5</v>
      </c>
      <c r="J2" s="27" t="s">
        <v>36</v>
      </c>
      <c r="K2" s="27" t="s">
        <v>37</v>
      </c>
      <c r="L2" s="29" t="s">
        <v>7</v>
      </c>
      <c r="M2" s="30" t="s">
        <v>38</v>
      </c>
      <c r="N2" s="30" t="s">
        <v>39</v>
      </c>
      <c r="O2" s="30" t="s">
        <v>40</v>
      </c>
      <c r="P2" s="31" t="s">
        <v>41</v>
      </c>
    </row>
    <row r="3" spans="1:19" ht="15.6" x14ac:dyDescent="0.3">
      <c r="A3" s="32">
        <v>46023</v>
      </c>
      <c r="B3" s="32"/>
      <c r="C3" s="32"/>
      <c r="D3" s="14">
        <v>2</v>
      </c>
      <c r="E3" s="14" t="s">
        <v>66</v>
      </c>
      <c r="F3" s="14" t="s">
        <v>67</v>
      </c>
      <c r="G3" s="14" t="s">
        <v>42</v>
      </c>
      <c r="H3" s="14">
        <v>1405</v>
      </c>
      <c r="I3" s="14">
        <v>79</v>
      </c>
      <c r="J3" s="37">
        <v>1405</v>
      </c>
      <c r="K3" s="14">
        <f t="shared" ref="K3:K34" si="0">I3*J3</f>
        <v>110995</v>
      </c>
      <c r="L3" s="39">
        <f t="shared" ref="L3:L34" si="1">K3*15%</f>
        <v>16649.25</v>
      </c>
      <c r="M3" s="114">
        <f t="shared" ref="M3:M34" si="2">K3+L3</f>
        <v>127644.25</v>
      </c>
      <c r="N3" s="33">
        <v>127644.25</v>
      </c>
      <c r="O3" s="33">
        <f t="shared" ref="O3:O34" si="3">M3-N3</f>
        <v>0</v>
      </c>
      <c r="P3" s="34"/>
      <c r="Q3" t="s">
        <v>71</v>
      </c>
    </row>
    <row r="4" spans="1:19" ht="15.6" x14ac:dyDescent="0.3">
      <c r="A4" s="32">
        <v>46026</v>
      </c>
      <c r="B4" s="32"/>
      <c r="C4" s="32" t="s">
        <v>43</v>
      </c>
      <c r="D4" s="14">
        <v>14147</v>
      </c>
      <c r="E4" s="14" t="s">
        <v>44</v>
      </c>
      <c r="F4" s="14" t="s">
        <v>24</v>
      </c>
      <c r="G4" s="14" t="s">
        <v>42</v>
      </c>
      <c r="H4" s="14">
        <v>100</v>
      </c>
      <c r="I4" s="14">
        <v>168</v>
      </c>
      <c r="J4" s="37">
        <v>100</v>
      </c>
      <c r="K4" s="14">
        <f t="shared" si="0"/>
        <v>16800</v>
      </c>
      <c r="L4" s="39">
        <f t="shared" si="1"/>
        <v>2520</v>
      </c>
      <c r="M4" s="114">
        <f t="shared" si="2"/>
        <v>19320</v>
      </c>
      <c r="N4" s="33"/>
      <c r="O4" s="33"/>
      <c r="P4" s="34"/>
    </row>
    <row r="5" spans="1:19" ht="15.6" x14ac:dyDescent="0.3">
      <c r="A5" s="32">
        <v>46026</v>
      </c>
      <c r="B5" s="32"/>
      <c r="C5" s="32" t="s">
        <v>43</v>
      </c>
      <c r="D5" s="14">
        <v>14153</v>
      </c>
      <c r="E5" s="14" t="s">
        <v>44</v>
      </c>
      <c r="F5" s="14" t="s">
        <v>207</v>
      </c>
      <c r="G5" s="14" t="s">
        <v>42</v>
      </c>
      <c r="H5" s="14">
        <v>20</v>
      </c>
      <c r="I5" s="14">
        <v>634.5</v>
      </c>
      <c r="J5" s="37">
        <v>20</v>
      </c>
      <c r="K5" s="14">
        <f t="shared" si="0"/>
        <v>12690</v>
      </c>
      <c r="L5" s="39">
        <f t="shared" si="1"/>
        <v>1903.5</v>
      </c>
      <c r="M5" s="114">
        <f t="shared" si="2"/>
        <v>14593.5</v>
      </c>
      <c r="N5" s="33"/>
      <c r="O5" s="33"/>
      <c r="P5" s="34"/>
    </row>
    <row r="6" spans="1:19" ht="15.6" x14ac:dyDescent="0.3">
      <c r="A6" s="32">
        <v>46026</v>
      </c>
      <c r="B6" s="32"/>
      <c r="C6" s="32" t="s">
        <v>43</v>
      </c>
      <c r="D6" s="14">
        <v>14154</v>
      </c>
      <c r="E6" s="14" t="s">
        <v>44</v>
      </c>
      <c r="F6" s="14" t="s">
        <v>55</v>
      </c>
      <c r="G6" s="14" t="s">
        <v>42</v>
      </c>
      <c r="H6" s="14">
        <v>58</v>
      </c>
      <c r="I6" s="14">
        <v>167</v>
      </c>
      <c r="J6" s="37">
        <v>58</v>
      </c>
      <c r="K6" s="14">
        <f t="shared" si="0"/>
        <v>9686</v>
      </c>
      <c r="L6" s="39">
        <f t="shared" si="1"/>
        <v>1452.8999999999999</v>
      </c>
      <c r="M6" s="114">
        <f t="shared" si="2"/>
        <v>11138.9</v>
      </c>
      <c r="N6" s="33"/>
      <c r="O6" s="33"/>
      <c r="P6" s="34"/>
    </row>
    <row r="7" spans="1:19" ht="15.6" x14ac:dyDescent="0.3">
      <c r="A7" s="32">
        <v>46028</v>
      </c>
      <c r="B7" s="32"/>
      <c r="C7" s="32" t="s">
        <v>43</v>
      </c>
      <c r="D7" s="14">
        <v>14185</v>
      </c>
      <c r="E7" s="14" t="s">
        <v>44</v>
      </c>
      <c r="F7" s="14" t="s">
        <v>55</v>
      </c>
      <c r="G7" s="14" t="s">
        <v>42</v>
      </c>
      <c r="H7" s="14">
        <v>200</v>
      </c>
      <c r="I7" s="14">
        <v>166</v>
      </c>
      <c r="J7" s="37">
        <v>200</v>
      </c>
      <c r="K7" s="14">
        <f t="shared" si="0"/>
        <v>33200</v>
      </c>
      <c r="L7" s="39">
        <f t="shared" si="1"/>
        <v>4980</v>
      </c>
      <c r="M7" s="114">
        <f t="shared" si="2"/>
        <v>38180</v>
      </c>
      <c r="N7" s="33"/>
      <c r="O7" s="33"/>
      <c r="P7" s="34"/>
    </row>
    <row r="8" spans="1:19" ht="15.6" x14ac:dyDescent="0.3">
      <c r="A8" s="32">
        <v>46026</v>
      </c>
      <c r="B8" s="32"/>
      <c r="C8" s="32"/>
      <c r="D8" s="14">
        <v>576</v>
      </c>
      <c r="E8" s="14" t="s">
        <v>56</v>
      </c>
      <c r="F8" s="14" t="s">
        <v>57</v>
      </c>
      <c r="G8" s="14" t="s">
        <v>42</v>
      </c>
      <c r="H8" s="14">
        <v>1300</v>
      </c>
      <c r="I8" s="14">
        <v>307</v>
      </c>
      <c r="J8" s="37">
        <v>1300</v>
      </c>
      <c r="K8" s="14">
        <f t="shared" si="0"/>
        <v>399100</v>
      </c>
      <c r="L8" s="39">
        <f t="shared" si="1"/>
        <v>59865</v>
      </c>
      <c r="M8" s="114">
        <f t="shared" si="2"/>
        <v>458965</v>
      </c>
      <c r="N8" s="33"/>
      <c r="O8" s="33"/>
      <c r="P8" s="34"/>
    </row>
    <row r="9" spans="1:19" ht="15.6" x14ac:dyDescent="0.3">
      <c r="A9" s="32">
        <v>46028</v>
      </c>
      <c r="B9" s="104" t="s">
        <v>182</v>
      </c>
      <c r="C9" s="104"/>
      <c r="D9" s="105">
        <v>1</v>
      </c>
      <c r="E9" s="105" t="s">
        <v>62</v>
      </c>
      <c r="F9" s="105" t="s">
        <v>63</v>
      </c>
      <c r="G9" s="105" t="s">
        <v>42</v>
      </c>
      <c r="H9" s="105">
        <v>146</v>
      </c>
      <c r="I9" s="105">
        <v>62</v>
      </c>
      <c r="J9" s="106">
        <v>146</v>
      </c>
      <c r="K9" s="105">
        <f t="shared" si="0"/>
        <v>9052</v>
      </c>
      <c r="L9" s="107">
        <f t="shared" si="1"/>
        <v>1357.8</v>
      </c>
      <c r="M9" s="108">
        <f t="shared" si="2"/>
        <v>10409.799999999999</v>
      </c>
      <c r="N9" s="108"/>
      <c r="O9" s="108"/>
      <c r="P9" s="34"/>
    </row>
    <row r="10" spans="1:19" ht="15.6" x14ac:dyDescent="0.3">
      <c r="A10" s="32">
        <v>46029</v>
      </c>
      <c r="B10" s="32"/>
      <c r="C10" s="32" t="s">
        <v>43</v>
      </c>
      <c r="D10" s="14">
        <v>3</v>
      </c>
      <c r="E10" s="14" t="s">
        <v>68</v>
      </c>
      <c r="F10" s="14" t="s">
        <v>60</v>
      </c>
      <c r="G10" s="14" t="s">
        <v>42</v>
      </c>
      <c r="H10" s="14">
        <v>2400</v>
      </c>
      <c r="I10" s="14">
        <v>164</v>
      </c>
      <c r="J10" s="37">
        <v>2400</v>
      </c>
      <c r="K10" s="14">
        <f t="shared" si="0"/>
        <v>393600</v>
      </c>
      <c r="L10" s="39">
        <f t="shared" si="1"/>
        <v>59040</v>
      </c>
      <c r="M10" s="114">
        <f t="shared" si="2"/>
        <v>452640</v>
      </c>
      <c r="N10" s="33"/>
      <c r="O10" s="33"/>
      <c r="P10" s="34"/>
      <c r="S10" s="11"/>
    </row>
    <row r="11" spans="1:19" ht="15.6" x14ac:dyDescent="0.3">
      <c r="A11" s="32">
        <v>46030</v>
      </c>
      <c r="B11" s="32"/>
      <c r="C11" s="32"/>
      <c r="D11" s="14">
        <v>60</v>
      </c>
      <c r="E11" s="14" t="s">
        <v>66</v>
      </c>
      <c r="F11" s="14" t="s">
        <v>67</v>
      </c>
      <c r="G11" s="14" t="s">
        <v>42</v>
      </c>
      <c r="H11" s="14">
        <v>500</v>
      </c>
      <c r="I11" s="14">
        <v>79</v>
      </c>
      <c r="J11" s="37">
        <v>500</v>
      </c>
      <c r="K11" s="14">
        <f t="shared" si="0"/>
        <v>39500</v>
      </c>
      <c r="L11" s="39">
        <f t="shared" si="1"/>
        <v>5925</v>
      </c>
      <c r="M11" s="114">
        <f t="shared" si="2"/>
        <v>45425</v>
      </c>
      <c r="N11" s="33"/>
      <c r="O11" s="33"/>
      <c r="P11" s="34"/>
    </row>
    <row r="12" spans="1:19" ht="15.6" x14ac:dyDescent="0.3">
      <c r="A12" s="32">
        <v>46030</v>
      </c>
      <c r="B12" s="32"/>
      <c r="C12" s="32"/>
      <c r="D12" s="14">
        <v>60</v>
      </c>
      <c r="E12" s="14" t="s">
        <v>66</v>
      </c>
      <c r="F12" s="14" t="s">
        <v>69</v>
      </c>
      <c r="G12" s="14" t="s">
        <v>42</v>
      </c>
      <c r="H12" s="14">
        <v>95</v>
      </c>
      <c r="I12" s="14">
        <v>79</v>
      </c>
      <c r="J12" s="37">
        <v>95</v>
      </c>
      <c r="K12" s="14">
        <f t="shared" si="0"/>
        <v>7505</v>
      </c>
      <c r="L12" s="39">
        <f t="shared" si="1"/>
        <v>1125.75</v>
      </c>
      <c r="M12" s="114">
        <f t="shared" si="2"/>
        <v>8630.75</v>
      </c>
      <c r="N12" s="33"/>
      <c r="O12" s="33"/>
      <c r="P12" s="35"/>
    </row>
    <row r="13" spans="1:19" ht="15.6" x14ac:dyDescent="0.3">
      <c r="A13" s="32">
        <v>46030</v>
      </c>
      <c r="B13" s="32"/>
      <c r="C13" s="32"/>
      <c r="D13" s="14">
        <v>5</v>
      </c>
      <c r="E13" s="14" t="s">
        <v>68</v>
      </c>
      <c r="F13" s="14" t="s">
        <v>70</v>
      </c>
      <c r="G13" s="14" t="s">
        <v>42</v>
      </c>
      <c r="H13" s="14">
        <v>1000</v>
      </c>
      <c r="I13" s="14">
        <v>350</v>
      </c>
      <c r="J13" s="14">
        <v>1000</v>
      </c>
      <c r="K13" s="14">
        <f t="shared" si="0"/>
        <v>350000</v>
      </c>
      <c r="L13" s="39">
        <f t="shared" si="1"/>
        <v>52500</v>
      </c>
      <c r="M13" s="114">
        <f t="shared" si="2"/>
        <v>402500</v>
      </c>
      <c r="N13" s="33"/>
      <c r="O13" s="33"/>
      <c r="P13" s="34"/>
    </row>
    <row r="14" spans="1:19" ht="15.6" x14ac:dyDescent="0.3">
      <c r="A14" s="32">
        <v>46030</v>
      </c>
      <c r="B14" s="32"/>
      <c r="C14" s="32"/>
      <c r="D14" s="14">
        <v>5</v>
      </c>
      <c r="E14" s="14" t="s">
        <v>68</v>
      </c>
      <c r="F14" s="14" t="s">
        <v>57</v>
      </c>
      <c r="G14" s="14" t="s">
        <v>42</v>
      </c>
      <c r="H14" s="14">
        <v>330</v>
      </c>
      <c r="I14" s="14">
        <v>308</v>
      </c>
      <c r="J14" s="14">
        <v>330</v>
      </c>
      <c r="K14" s="14">
        <f t="shared" si="0"/>
        <v>101640</v>
      </c>
      <c r="L14" s="39">
        <f t="shared" si="1"/>
        <v>15246</v>
      </c>
      <c r="M14" s="114">
        <f t="shared" si="2"/>
        <v>116886</v>
      </c>
      <c r="N14" s="33"/>
      <c r="O14" s="33"/>
      <c r="P14" s="34"/>
    </row>
    <row r="15" spans="1:19" ht="15.6" x14ac:dyDescent="0.3">
      <c r="A15" s="32">
        <v>46033</v>
      </c>
      <c r="B15" s="32"/>
      <c r="C15" s="32" t="s">
        <v>43</v>
      </c>
      <c r="D15" s="14">
        <v>8291</v>
      </c>
      <c r="E15" s="14" t="s">
        <v>102</v>
      </c>
      <c r="F15" s="14" t="s">
        <v>77</v>
      </c>
      <c r="G15" s="14" t="s">
        <v>42</v>
      </c>
      <c r="H15" s="14">
        <v>250</v>
      </c>
      <c r="I15" s="14">
        <v>41</v>
      </c>
      <c r="J15" s="14">
        <v>250</v>
      </c>
      <c r="K15" s="14">
        <f t="shared" si="0"/>
        <v>10250</v>
      </c>
      <c r="L15" s="39">
        <f t="shared" si="1"/>
        <v>1537.5</v>
      </c>
      <c r="M15" s="114">
        <f t="shared" si="2"/>
        <v>11787.5</v>
      </c>
      <c r="N15" s="33"/>
      <c r="O15" s="33"/>
      <c r="P15" s="34"/>
    </row>
    <row r="16" spans="1:19" ht="15.6" x14ac:dyDescent="0.3">
      <c r="A16" s="32">
        <v>46037</v>
      </c>
      <c r="B16" s="32"/>
      <c r="C16" s="32"/>
      <c r="D16" s="14">
        <v>9</v>
      </c>
      <c r="E16" s="14" t="s">
        <v>68</v>
      </c>
      <c r="F16" s="14" t="s">
        <v>92</v>
      </c>
      <c r="G16" s="14" t="s">
        <v>42</v>
      </c>
      <c r="H16" s="14">
        <v>100</v>
      </c>
      <c r="I16" s="14">
        <v>340</v>
      </c>
      <c r="J16" s="14">
        <v>100</v>
      </c>
      <c r="K16" s="14">
        <f t="shared" si="0"/>
        <v>34000</v>
      </c>
      <c r="L16" s="39">
        <f t="shared" si="1"/>
        <v>5100</v>
      </c>
      <c r="M16" s="114">
        <f t="shared" si="2"/>
        <v>39100</v>
      </c>
      <c r="N16" s="33"/>
      <c r="O16" s="33"/>
      <c r="P16" s="34"/>
    </row>
    <row r="17" spans="1:17" ht="15.6" x14ac:dyDescent="0.3">
      <c r="A17" s="32">
        <v>46037</v>
      </c>
      <c r="B17" s="32"/>
      <c r="C17" s="32"/>
      <c r="D17" s="14">
        <v>9</v>
      </c>
      <c r="E17" s="14" t="s">
        <v>68</v>
      </c>
      <c r="F17" s="14" t="s">
        <v>93</v>
      </c>
      <c r="G17" s="14" t="s">
        <v>42</v>
      </c>
      <c r="H17" s="14">
        <v>50</v>
      </c>
      <c r="I17" s="14">
        <v>340</v>
      </c>
      <c r="J17" s="14">
        <v>50</v>
      </c>
      <c r="K17" s="14">
        <f t="shared" si="0"/>
        <v>17000</v>
      </c>
      <c r="L17" s="39">
        <f t="shared" si="1"/>
        <v>2550</v>
      </c>
      <c r="M17" s="114">
        <f t="shared" si="2"/>
        <v>19550</v>
      </c>
      <c r="N17" s="33"/>
      <c r="O17" s="33"/>
      <c r="P17" s="34"/>
    </row>
    <row r="18" spans="1:17" ht="15.6" x14ac:dyDescent="0.3">
      <c r="A18" s="32">
        <v>46037</v>
      </c>
      <c r="B18" s="32"/>
      <c r="C18" s="32"/>
      <c r="D18" s="14">
        <v>9</v>
      </c>
      <c r="E18" s="14" t="s">
        <v>68</v>
      </c>
      <c r="F18" s="14" t="s">
        <v>173</v>
      </c>
      <c r="G18" s="14" t="s">
        <v>42</v>
      </c>
      <c r="H18" s="14">
        <v>570</v>
      </c>
      <c r="I18" s="14">
        <v>340</v>
      </c>
      <c r="J18" s="14">
        <v>570</v>
      </c>
      <c r="K18" s="14">
        <f t="shared" si="0"/>
        <v>193800</v>
      </c>
      <c r="L18" s="39">
        <f t="shared" si="1"/>
        <v>29070</v>
      </c>
      <c r="M18" s="114">
        <f t="shared" si="2"/>
        <v>222870</v>
      </c>
      <c r="N18" s="33"/>
      <c r="O18" s="33"/>
      <c r="P18" s="34"/>
    </row>
    <row r="19" spans="1:17" ht="15.6" x14ac:dyDescent="0.3">
      <c r="A19" s="32">
        <v>46037</v>
      </c>
      <c r="B19" s="32"/>
      <c r="C19" s="32"/>
      <c r="D19" s="14">
        <v>9</v>
      </c>
      <c r="E19" s="14" t="s">
        <v>68</v>
      </c>
      <c r="F19" s="14" t="s">
        <v>121</v>
      </c>
      <c r="G19" s="14" t="s">
        <v>42</v>
      </c>
      <c r="H19" s="14">
        <v>200</v>
      </c>
      <c r="I19" s="14">
        <v>300</v>
      </c>
      <c r="J19" s="14">
        <v>200</v>
      </c>
      <c r="K19" s="14">
        <f t="shared" si="0"/>
        <v>60000</v>
      </c>
      <c r="L19" s="39">
        <f t="shared" si="1"/>
        <v>9000</v>
      </c>
      <c r="M19" s="114">
        <f t="shared" si="2"/>
        <v>69000</v>
      </c>
      <c r="N19" s="33"/>
      <c r="O19" s="33"/>
      <c r="P19" s="34"/>
    </row>
    <row r="20" spans="1:17" ht="15.6" x14ac:dyDescent="0.3">
      <c r="A20" s="32">
        <v>46039</v>
      </c>
      <c r="B20" s="32"/>
      <c r="C20" s="32"/>
      <c r="D20" s="14">
        <v>120</v>
      </c>
      <c r="E20" s="14" t="s">
        <v>66</v>
      </c>
      <c r="F20" s="14" t="s">
        <v>94</v>
      </c>
      <c r="G20" s="14" t="s">
        <v>42</v>
      </c>
      <c r="H20" s="14">
        <v>2280</v>
      </c>
      <c r="I20" s="14">
        <v>83</v>
      </c>
      <c r="J20" s="14">
        <v>2280</v>
      </c>
      <c r="K20" s="14">
        <f t="shared" si="0"/>
        <v>189240</v>
      </c>
      <c r="L20" s="39">
        <f t="shared" si="1"/>
        <v>28386</v>
      </c>
      <c r="M20" s="114">
        <f t="shared" si="2"/>
        <v>217626</v>
      </c>
      <c r="N20" s="33"/>
      <c r="O20" s="33"/>
      <c r="P20" s="34"/>
    </row>
    <row r="21" spans="1:17" ht="15.6" x14ac:dyDescent="0.3">
      <c r="A21" s="32">
        <v>46041</v>
      </c>
      <c r="B21" s="32"/>
      <c r="C21" s="32"/>
      <c r="D21" s="14">
        <v>2568</v>
      </c>
      <c r="E21" s="14" t="s">
        <v>101</v>
      </c>
      <c r="F21" s="14" t="s">
        <v>97</v>
      </c>
      <c r="G21" s="14" t="s">
        <v>42</v>
      </c>
      <c r="H21" s="14">
        <v>100</v>
      </c>
      <c r="I21" s="14">
        <v>152</v>
      </c>
      <c r="J21" s="14">
        <v>100</v>
      </c>
      <c r="K21" s="14">
        <f t="shared" si="0"/>
        <v>15200</v>
      </c>
      <c r="L21" s="39">
        <f t="shared" si="1"/>
        <v>2280</v>
      </c>
      <c r="M21" s="114">
        <f t="shared" si="2"/>
        <v>17480</v>
      </c>
      <c r="N21" s="33"/>
      <c r="O21" s="33"/>
      <c r="P21" s="35"/>
    </row>
    <row r="22" spans="1:17" ht="15.6" x14ac:dyDescent="0.3">
      <c r="A22" s="32">
        <v>46054</v>
      </c>
      <c r="B22" s="32"/>
      <c r="C22" s="32"/>
      <c r="D22" s="14">
        <v>755</v>
      </c>
      <c r="E22" s="14" t="s">
        <v>56</v>
      </c>
      <c r="F22" s="14" t="s">
        <v>24</v>
      </c>
      <c r="G22" s="14" t="s">
        <v>42</v>
      </c>
      <c r="H22" s="14">
        <v>2700</v>
      </c>
      <c r="I22" s="14">
        <v>162</v>
      </c>
      <c r="J22" s="14">
        <v>2700</v>
      </c>
      <c r="K22" s="14">
        <f t="shared" si="0"/>
        <v>437400</v>
      </c>
      <c r="L22" s="39">
        <f t="shared" si="1"/>
        <v>65610</v>
      </c>
      <c r="M22" s="114">
        <f t="shared" si="2"/>
        <v>503010</v>
      </c>
      <c r="N22" s="33"/>
      <c r="O22" s="33"/>
      <c r="P22" s="35"/>
    </row>
    <row r="23" spans="1:17" ht="15.6" x14ac:dyDescent="0.3">
      <c r="A23" s="32">
        <v>46054</v>
      </c>
      <c r="B23" s="32"/>
      <c r="C23" s="32"/>
      <c r="D23" s="14">
        <v>755</v>
      </c>
      <c r="E23" s="14" t="s">
        <v>56</v>
      </c>
      <c r="F23" s="14" t="s">
        <v>55</v>
      </c>
      <c r="G23" s="14" t="s">
        <v>42</v>
      </c>
      <c r="H23" s="14">
        <v>2448</v>
      </c>
      <c r="I23" s="14">
        <v>162</v>
      </c>
      <c r="J23" s="14">
        <v>2448</v>
      </c>
      <c r="K23" s="14">
        <f t="shared" si="0"/>
        <v>396576</v>
      </c>
      <c r="L23" s="39">
        <f t="shared" si="1"/>
        <v>59486.399999999994</v>
      </c>
      <c r="M23" s="114">
        <f t="shared" si="2"/>
        <v>456062.4</v>
      </c>
      <c r="N23" s="33"/>
      <c r="O23" s="33"/>
      <c r="P23" s="35"/>
    </row>
    <row r="24" spans="1:17" ht="15.6" x14ac:dyDescent="0.3">
      <c r="A24" s="32">
        <v>46056</v>
      </c>
      <c r="B24" s="32"/>
      <c r="C24" s="32" t="s">
        <v>43</v>
      </c>
      <c r="D24" s="14">
        <v>8344</v>
      </c>
      <c r="E24" s="14" t="s">
        <v>102</v>
      </c>
      <c r="F24" s="14" t="s">
        <v>77</v>
      </c>
      <c r="G24" s="14" t="s">
        <v>42</v>
      </c>
      <c r="H24" s="14">
        <v>250</v>
      </c>
      <c r="I24" s="14">
        <v>39</v>
      </c>
      <c r="J24" s="14">
        <v>250</v>
      </c>
      <c r="K24" s="14">
        <f t="shared" si="0"/>
        <v>9750</v>
      </c>
      <c r="L24" s="39">
        <f t="shared" si="1"/>
        <v>1462.5</v>
      </c>
      <c r="M24" s="114">
        <f t="shared" si="2"/>
        <v>11212.5</v>
      </c>
      <c r="N24" s="33"/>
      <c r="O24" s="33"/>
      <c r="P24" s="35"/>
    </row>
    <row r="25" spans="1:17" ht="15.6" x14ac:dyDescent="0.3">
      <c r="A25" s="32">
        <v>46060</v>
      </c>
      <c r="B25" s="32"/>
      <c r="C25" s="32" t="s">
        <v>43</v>
      </c>
      <c r="D25" s="14">
        <v>2050</v>
      </c>
      <c r="E25" s="14" t="s">
        <v>127</v>
      </c>
      <c r="F25" s="14" t="s">
        <v>128</v>
      </c>
      <c r="G25" s="14" t="s">
        <v>42</v>
      </c>
      <c r="H25" s="14">
        <v>120</v>
      </c>
      <c r="I25" s="14">
        <v>9.75</v>
      </c>
      <c r="J25" s="14">
        <v>120</v>
      </c>
      <c r="K25" s="14">
        <f t="shared" si="0"/>
        <v>1170</v>
      </c>
      <c r="L25" s="39">
        <f t="shared" si="1"/>
        <v>175.5</v>
      </c>
      <c r="M25" s="114">
        <f t="shared" si="2"/>
        <v>1345.5</v>
      </c>
      <c r="N25" s="33"/>
      <c r="O25" s="33"/>
      <c r="P25" s="35"/>
    </row>
    <row r="26" spans="1:17" ht="15.6" x14ac:dyDescent="0.3">
      <c r="A26" s="32">
        <v>46060</v>
      </c>
      <c r="B26" s="32"/>
      <c r="C26" s="32" t="s">
        <v>43</v>
      </c>
      <c r="D26" s="14">
        <v>42528</v>
      </c>
      <c r="E26" s="14" t="s">
        <v>54</v>
      </c>
      <c r="F26" s="14" t="s">
        <v>133</v>
      </c>
      <c r="G26" s="14" t="s">
        <v>42</v>
      </c>
      <c r="H26" s="14">
        <v>7</v>
      </c>
      <c r="I26" s="14">
        <v>29.5</v>
      </c>
      <c r="J26" s="14">
        <v>114.2</v>
      </c>
      <c r="K26" s="14">
        <f t="shared" si="0"/>
        <v>3368.9</v>
      </c>
      <c r="L26" s="39">
        <f t="shared" si="1"/>
        <v>505.33499999999998</v>
      </c>
      <c r="M26" s="114">
        <f t="shared" si="2"/>
        <v>3874.2350000000001</v>
      </c>
      <c r="N26" s="33"/>
      <c r="O26" s="33"/>
      <c r="P26" s="35"/>
    </row>
    <row r="27" spans="1:17" ht="15.6" x14ac:dyDescent="0.3">
      <c r="A27" s="32">
        <v>46062</v>
      </c>
      <c r="B27" s="32"/>
      <c r="C27" s="32" t="s">
        <v>43</v>
      </c>
      <c r="D27" s="14">
        <v>30</v>
      </c>
      <c r="E27" s="14" t="s">
        <v>68</v>
      </c>
      <c r="F27" s="14" t="s">
        <v>135</v>
      </c>
      <c r="G27" s="14" t="s">
        <v>42</v>
      </c>
      <c r="H27" s="14">
        <v>751</v>
      </c>
      <c r="I27" s="14">
        <v>304</v>
      </c>
      <c r="J27" s="14">
        <v>751</v>
      </c>
      <c r="K27" s="14">
        <f t="shared" si="0"/>
        <v>228304</v>
      </c>
      <c r="L27" s="39">
        <f t="shared" si="1"/>
        <v>34245.599999999999</v>
      </c>
      <c r="M27" s="114">
        <f t="shared" si="2"/>
        <v>262549.59999999998</v>
      </c>
      <c r="N27" s="33"/>
      <c r="O27" s="33"/>
      <c r="P27" s="35"/>
    </row>
    <row r="28" spans="1:17" ht="15.6" x14ac:dyDescent="0.3">
      <c r="A28" s="32">
        <v>46062</v>
      </c>
      <c r="B28" s="32"/>
      <c r="C28" s="32" t="s">
        <v>43</v>
      </c>
      <c r="D28" s="14">
        <v>30</v>
      </c>
      <c r="E28" s="14" t="s">
        <v>68</v>
      </c>
      <c r="F28" s="14" t="s">
        <v>152</v>
      </c>
      <c r="G28" s="14" t="s">
        <v>42</v>
      </c>
      <c r="H28" s="14">
        <v>569</v>
      </c>
      <c r="I28" s="14">
        <v>345</v>
      </c>
      <c r="J28" s="14">
        <v>569</v>
      </c>
      <c r="K28" s="14">
        <f t="shared" si="0"/>
        <v>196305</v>
      </c>
      <c r="L28" s="39">
        <f t="shared" si="1"/>
        <v>29445.75</v>
      </c>
      <c r="M28" s="114">
        <f t="shared" si="2"/>
        <v>225750.75</v>
      </c>
      <c r="N28" s="33"/>
      <c r="O28" s="33"/>
      <c r="P28" s="35"/>
    </row>
    <row r="29" spans="1:17" ht="15.6" x14ac:dyDescent="0.3">
      <c r="A29" s="32">
        <v>46062</v>
      </c>
      <c r="B29" s="32"/>
      <c r="C29" s="32" t="s">
        <v>43</v>
      </c>
      <c r="D29" s="14">
        <v>30</v>
      </c>
      <c r="E29" s="14" t="s">
        <v>68</v>
      </c>
      <c r="F29" s="14" t="s">
        <v>194</v>
      </c>
      <c r="G29" s="14" t="s">
        <v>42</v>
      </c>
      <c r="H29" s="14">
        <v>30</v>
      </c>
      <c r="I29" s="14">
        <v>680</v>
      </c>
      <c r="J29" s="14">
        <v>30</v>
      </c>
      <c r="K29" s="14">
        <f t="shared" si="0"/>
        <v>20400</v>
      </c>
      <c r="L29" s="39">
        <f t="shared" si="1"/>
        <v>3060</v>
      </c>
      <c r="M29" s="114">
        <f t="shared" si="2"/>
        <v>23460</v>
      </c>
      <c r="N29" s="33"/>
      <c r="O29" s="33"/>
      <c r="P29" s="35"/>
    </row>
    <row r="30" spans="1:17" ht="15.6" x14ac:dyDescent="0.3">
      <c r="A30" s="32">
        <v>46063</v>
      </c>
      <c r="B30" s="32"/>
      <c r="C30" s="32" t="s">
        <v>43</v>
      </c>
      <c r="D30" s="14">
        <v>8355</v>
      </c>
      <c r="E30" s="14" t="s">
        <v>102</v>
      </c>
      <c r="F30" s="14" t="s">
        <v>77</v>
      </c>
      <c r="G30" s="14" t="s">
        <v>42</v>
      </c>
      <c r="H30" s="14">
        <v>250</v>
      </c>
      <c r="I30" s="14">
        <v>39</v>
      </c>
      <c r="J30" s="14">
        <v>250</v>
      </c>
      <c r="K30" s="14">
        <f t="shared" si="0"/>
        <v>9750</v>
      </c>
      <c r="L30" s="39">
        <f t="shared" si="1"/>
        <v>1462.5</v>
      </c>
      <c r="M30" s="114">
        <f t="shared" si="2"/>
        <v>11212.5</v>
      </c>
      <c r="N30" s="33"/>
      <c r="O30" s="33"/>
      <c r="P30" s="35"/>
    </row>
    <row r="31" spans="1:17" ht="15.6" x14ac:dyDescent="0.3">
      <c r="A31" s="32">
        <v>46063</v>
      </c>
      <c r="B31" s="32"/>
      <c r="C31" s="32"/>
      <c r="D31" s="14">
        <v>298</v>
      </c>
      <c r="E31" s="14" t="s">
        <v>66</v>
      </c>
      <c r="F31" s="14" t="s">
        <v>141</v>
      </c>
      <c r="G31" s="14" t="s">
        <v>42</v>
      </c>
      <c r="H31" s="14">
        <v>610</v>
      </c>
      <c r="I31" s="14">
        <v>90</v>
      </c>
      <c r="J31" s="14">
        <v>610</v>
      </c>
      <c r="K31" s="14">
        <f t="shared" si="0"/>
        <v>54900</v>
      </c>
      <c r="L31" s="39">
        <f t="shared" si="1"/>
        <v>8235</v>
      </c>
      <c r="M31" s="114">
        <f t="shared" si="2"/>
        <v>63135</v>
      </c>
      <c r="N31" s="36"/>
      <c r="O31" s="36"/>
      <c r="P31" s="76"/>
      <c r="Q31" s="11"/>
    </row>
    <row r="32" spans="1:17" ht="15.6" x14ac:dyDescent="0.3">
      <c r="A32" s="32">
        <v>46063</v>
      </c>
      <c r="B32" s="32"/>
      <c r="C32" s="32"/>
      <c r="D32" s="14">
        <v>806</v>
      </c>
      <c r="E32" s="14" t="s">
        <v>56</v>
      </c>
      <c r="F32" s="14" t="s">
        <v>55</v>
      </c>
      <c r="G32" s="14" t="s">
        <v>42</v>
      </c>
      <c r="H32" s="14">
        <v>2400</v>
      </c>
      <c r="I32" s="14">
        <v>162</v>
      </c>
      <c r="J32" s="14">
        <v>2400</v>
      </c>
      <c r="K32" s="14">
        <f t="shared" si="0"/>
        <v>388800</v>
      </c>
      <c r="L32" s="39">
        <f t="shared" si="1"/>
        <v>58320</v>
      </c>
      <c r="M32" s="114">
        <f t="shared" si="2"/>
        <v>447120</v>
      </c>
      <c r="N32" s="33"/>
      <c r="O32" s="33"/>
      <c r="P32" s="35"/>
    </row>
    <row r="33" spans="1:16" ht="15.6" x14ac:dyDescent="0.3">
      <c r="A33" s="32">
        <v>46062</v>
      </c>
      <c r="B33" s="32"/>
      <c r="C33" s="32"/>
      <c r="D33" s="14">
        <v>2817</v>
      </c>
      <c r="E33" s="14" t="s">
        <v>101</v>
      </c>
      <c r="F33" s="14" t="s">
        <v>27</v>
      </c>
      <c r="G33" s="14" t="s">
        <v>42</v>
      </c>
      <c r="H33" s="14">
        <v>600</v>
      </c>
      <c r="I33" s="14">
        <v>342</v>
      </c>
      <c r="J33" s="14">
        <v>600</v>
      </c>
      <c r="K33" s="14">
        <f t="shared" si="0"/>
        <v>205200</v>
      </c>
      <c r="L33" s="98">
        <f t="shared" si="1"/>
        <v>30780</v>
      </c>
      <c r="M33" s="114">
        <f t="shared" si="2"/>
        <v>235980</v>
      </c>
      <c r="N33" s="33"/>
      <c r="O33" s="33"/>
      <c r="P33" s="35"/>
    </row>
    <row r="34" spans="1:16" ht="15.6" x14ac:dyDescent="0.3">
      <c r="A34" s="32">
        <v>46062</v>
      </c>
      <c r="B34" s="32"/>
      <c r="C34" s="32"/>
      <c r="D34" s="14">
        <v>2817</v>
      </c>
      <c r="E34" s="14" t="s">
        <v>101</v>
      </c>
      <c r="F34" s="14" t="s">
        <v>142</v>
      </c>
      <c r="G34" s="14" t="s">
        <v>42</v>
      </c>
      <c r="H34" s="14">
        <v>594</v>
      </c>
      <c r="I34" s="14">
        <v>342</v>
      </c>
      <c r="J34" s="14">
        <v>594</v>
      </c>
      <c r="K34" s="14">
        <f t="shared" si="0"/>
        <v>203148</v>
      </c>
      <c r="L34" s="39">
        <f t="shared" si="1"/>
        <v>30472.199999999997</v>
      </c>
      <c r="M34" s="114">
        <f t="shared" si="2"/>
        <v>233620.2</v>
      </c>
      <c r="N34" s="33"/>
      <c r="O34" s="33"/>
      <c r="P34" s="35"/>
    </row>
    <row r="35" spans="1:16" ht="15.6" x14ac:dyDescent="0.3">
      <c r="A35" s="32">
        <v>46062</v>
      </c>
      <c r="B35" s="32"/>
      <c r="C35" s="32"/>
      <c r="D35" s="14">
        <v>2817</v>
      </c>
      <c r="E35" s="14" t="s">
        <v>101</v>
      </c>
      <c r="F35" s="14" t="s">
        <v>143</v>
      </c>
      <c r="G35" s="14" t="s">
        <v>42</v>
      </c>
      <c r="H35" s="14">
        <v>204</v>
      </c>
      <c r="I35" s="14">
        <v>342</v>
      </c>
      <c r="J35" s="14">
        <v>204</v>
      </c>
      <c r="K35" s="14">
        <f t="shared" ref="K35:K67" si="4">I35*J35</f>
        <v>69768</v>
      </c>
      <c r="L35" s="39">
        <f t="shared" ref="L35:L67" si="5">K35*15%</f>
        <v>10465.199999999999</v>
      </c>
      <c r="M35" s="114">
        <f t="shared" ref="M35:M67" si="6">K35+L35</f>
        <v>80233.2</v>
      </c>
      <c r="N35" s="33"/>
      <c r="O35" s="33"/>
      <c r="P35" s="35"/>
    </row>
    <row r="36" spans="1:16" ht="15.6" x14ac:dyDescent="0.3">
      <c r="A36" s="32">
        <v>46062</v>
      </c>
      <c r="B36" s="32"/>
      <c r="C36" s="32"/>
      <c r="D36" s="14">
        <v>2817</v>
      </c>
      <c r="E36" s="14" t="s">
        <v>101</v>
      </c>
      <c r="F36" s="5" t="s">
        <v>144</v>
      </c>
      <c r="G36" s="14" t="s">
        <v>42</v>
      </c>
      <c r="H36" s="14">
        <v>102</v>
      </c>
      <c r="I36" s="14">
        <v>335</v>
      </c>
      <c r="J36" s="14">
        <v>102</v>
      </c>
      <c r="K36" s="14">
        <f t="shared" si="4"/>
        <v>34170</v>
      </c>
      <c r="L36" s="39">
        <f t="shared" si="5"/>
        <v>5125.5</v>
      </c>
      <c r="M36" s="114">
        <f t="shared" si="6"/>
        <v>39295.5</v>
      </c>
      <c r="N36" s="33"/>
      <c r="O36" s="33"/>
      <c r="P36" s="35"/>
    </row>
    <row r="37" spans="1:16" ht="15.6" x14ac:dyDescent="0.3">
      <c r="A37" s="32">
        <v>46065</v>
      </c>
      <c r="B37" s="32"/>
      <c r="C37" s="32"/>
      <c r="D37" s="14">
        <v>8364</v>
      </c>
      <c r="E37" s="14" t="s">
        <v>102</v>
      </c>
      <c r="F37" s="5" t="s">
        <v>77</v>
      </c>
      <c r="G37" s="14" t="s">
        <v>42</v>
      </c>
      <c r="H37" s="14">
        <v>100</v>
      </c>
      <c r="I37" s="14">
        <v>39</v>
      </c>
      <c r="J37" s="14">
        <v>100</v>
      </c>
      <c r="K37" s="14">
        <f t="shared" si="4"/>
        <v>3900</v>
      </c>
      <c r="L37" s="39">
        <f t="shared" si="5"/>
        <v>585</v>
      </c>
      <c r="M37" s="114">
        <f t="shared" si="6"/>
        <v>4485</v>
      </c>
      <c r="N37" s="33"/>
      <c r="O37" s="33"/>
      <c r="P37" s="35"/>
    </row>
    <row r="38" spans="1:16" ht="15.6" x14ac:dyDescent="0.3">
      <c r="A38" s="32">
        <v>46068</v>
      </c>
      <c r="B38" s="32"/>
      <c r="C38" s="32"/>
      <c r="D38" s="14">
        <v>838</v>
      </c>
      <c r="E38" s="14" t="s">
        <v>56</v>
      </c>
      <c r="F38" s="14" t="s">
        <v>24</v>
      </c>
      <c r="G38" s="14" t="s">
        <v>42</v>
      </c>
      <c r="H38" s="14">
        <v>2500</v>
      </c>
      <c r="I38" s="14">
        <v>162</v>
      </c>
      <c r="J38" s="14">
        <v>2500</v>
      </c>
      <c r="K38" s="14">
        <f t="shared" si="4"/>
        <v>405000</v>
      </c>
      <c r="L38" s="39">
        <f t="shared" si="5"/>
        <v>60750</v>
      </c>
      <c r="M38" s="114">
        <f t="shared" si="6"/>
        <v>465750</v>
      </c>
      <c r="N38" s="33"/>
      <c r="O38" s="33"/>
      <c r="P38" s="35"/>
    </row>
    <row r="39" spans="1:16" ht="15.6" x14ac:dyDescent="0.3">
      <c r="A39" s="32">
        <v>46068</v>
      </c>
      <c r="B39" s="32"/>
      <c r="C39" s="32" t="s">
        <v>43</v>
      </c>
      <c r="D39" s="14">
        <v>404</v>
      </c>
      <c r="E39" s="14" t="s">
        <v>149</v>
      </c>
      <c r="F39" s="14" t="s">
        <v>147</v>
      </c>
      <c r="G39" s="14" t="s">
        <v>42</v>
      </c>
      <c r="H39" s="14">
        <v>50</v>
      </c>
      <c r="I39" s="14">
        <v>155</v>
      </c>
      <c r="J39" s="14">
        <v>50</v>
      </c>
      <c r="K39" s="14">
        <f t="shared" si="4"/>
        <v>7750</v>
      </c>
      <c r="L39" s="39">
        <f t="shared" si="5"/>
        <v>1162.5</v>
      </c>
      <c r="M39" s="114">
        <f t="shared" si="6"/>
        <v>8912.5</v>
      </c>
      <c r="N39" s="33"/>
      <c r="O39" s="33"/>
      <c r="P39" s="35"/>
    </row>
    <row r="40" spans="1:16" ht="15.6" x14ac:dyDescent="0.3">
      <c r="A40" s="32">
        <v>46069</v>
      </c>
      <c r="B40" s="32"/>
      <c r="C40" s="32"/>
      <c r="D40" s="14">
        <v>840</v>
      </c>
      <c r="E40" s="14" t="s">
        <v>56</v>
      </c>
      <c r="F40" s="14" t="s">
        <v>24</v>
      </c>
      <c r="G40" s="14" t="s">
        <v>42</v>
      </c>
      <c r="H40" s="14">
        <v>2500</v>
      </c>
      <c r="I40" s="14">
        <v>162</v>
      </c>
      <c r="J40" s="14">
        <v>2500</v>
      </c>
      <c r="K40" s="14">
        <f t="shared" si="4"/>
        <v>405000</v>
      </c>
      <c r="L40" s="39">
        <f t="shared" si="5"/>
        <v>60750</v>
      </c>
      <c r="M40" s="114">
        <f t="shared" si="6"/>
        <v>465750</v>
      </c>
      <c r="N40" s="33"/>
      <c r="O40" s="33"/>
      <c r="P40" s="35"/>
    </row>
    <row r="41" spans="1:16" ht="15.6" x14ac:dyDescent="0.3">
      <c r="A41" s="32">
        <v>46069</v>
      </c>
      <c r="B41" s="32"/>
      <c r="C41" s="32"/>
      <c r="D41" s="14">
        <v>45</v>
      </c>
      <c r="E41" s="14" t="s">
        <v>68</v>
      </c>
      <c r="F41" s="14" t="s">
        <v>135</v>
      </c>
      <c r="G41" s="14" t="s">
        <v>42</v>
      </c>
      <c r="H41" s="38">
        <v>751</v>
      </c>
      <c r="I41" s="14">
        <v>304</v>
      </c>
      <c r="J41" s="38">
        <v>751</v>
      </c>
      <c r="K41" s="14">
        <f t="shared" si="4"/>
        <v>228304</v>
      </c>
      <c r="L41" s="39">
        <f t="shared" si="5"/>
        <v>34245.599999999999</v>
      </c>
      <c r="M41" s="114">
        <f t="shared" si="6"/>
        <v>262549.59999999998</v>
      </c>
      <c r="N41" s="33"/>
      <c r="O41" s="33"/>
      <c r="P41" s="35"/>
    </row>
    <row r="42" spans="1:16" ht="15.6" x14ac:dyDescent="0.3">
      <c r="A42" s="32">
        <v>46069</v>
      </c>
      <c r="B42" s="32"/>
      <c r="C42" s="32"/>
      <c r="D42" s="14">
        <v>45</v>
      </c>
      <c r="E42" s="14" t="s">
        <v>68</v>
      </c>
      <c r="F42" s="14" t="s">
        <v>152</v>
      </c>
      <c r="G42" s="14" t="s">
        <v>42</v>
      </c>
      <c r="H42" s="38">
        <v>569</v>
      </c>
      <c r="I42" s="14">
        <v>345</v>
      </c>
      <c r="J42" s="38">
        <v>569</v>
      </c>
      <c r="K42" s="14">
        <f t="shared" si="4"/>
        <v>196305</v>
      </c>
      <c r="L42" s="39">
        <f t="shared" si="5"/>
        <v>29445.75</v>
      </c>
      <c r="M42" s="114">
        <f t="shared" si="6"/>
        <v>225750.75</v>
      </c>
      <c r="N42" s="33"/>
      <c r="O42" s="33"/>
      <c r="P42" s="35"/>
    </row>
    <row r="43" spans="1:16" ht="15.6" x14ac:dyDescent="0.3">
      <c r="A43" s="32">
        <v>46069</v>
      </c>
      <c r="B43" s="32"/>
      <c r="C43" s="32"/>
      <c r="D43" s="14">
        <v>45</v>
      </c>
      <c r="E43" s="14" t="s">
        <v>68</v>
      </c>
      <c r="F43" s="14" t="s">
        <v>194</v>
      </c>
      <c r="G43" s="14" t="s">
        <v>42</v>
      </c>
      <c r="H43" s="38">
        <v>30</v>
      </c>
      <c r="I43" s="14">
        <v>680</v>
      </c>
      <c r="J43" s="38">
        <v>30</v>
      </c>
      <c r="K43" s="14">
        <f t="shared" si="4"/>
        <v>20400</v>
      </c>
      <c r="L43" s="39">
        <f t="shared" si="5"/>
        <v>3060</v>
      </c>
      <c r="M43" s="114">
        <f t="shared" si="6"/>
        <v>23460</v>
      </c>
      <c r="N43" s="33"/>
      <c r="O43" s="33"/>
      <c r="P43" s="35"/>
    </row>
    <row r="44" spans="1:16" x14ac:dyDescent="0.3">
      <c r="A44" s="32">
        <v>46070</v>
      </c>
      <c r="B44" s="32"/>
      <c r="C44" s="32"/>
      <c r="D44" s="14">
        <v>49</v>
      </c>
      <c r="E44" s="14" t="s">
        <v>68</v>
      </c>
      <c r="F44" s="14" t="s">
        <v>155</v>
      </c>
      <c r="G44" s="14" t="s">
        <v>202</v>
      </c>
      <c r="H44" s="38"/>
      <c r="I44" s="14">
        <v>26</v>
      </c>
      <c r="J44" s="38">
        <v>24019.09</v>
      </c>
      <c r="K44" s="14">
        <f t="shared" si="4"/>
        <v>624496.34</v>
      </c>
      <c r="L44" s="39">
        <f t="shared" si="5"/>
        <v>93674.450999999986</v>
      </c>
      <c r="M44" s="114">
        <f t="shared" si="6"/>
        <v>718170.79099999997</v>
      </c>
      <c r="N44" s="33"/>
      <c r="O44" s="33"/>
      <c r="P44" s="85"/>
    </row>
    <row r="45" spans="1:16" ht="15.6" x14ac:dyDescent="0.3">
      <c r="A45" s="32">
        <v>46069</v>
      </c>
      <c r="B45" s="32"/>
      <c r="C45" s="32" t="s">
        <v>43</v>
      </c>
      <c r="D45" s="14">
        <v>8372</v>
      </c>
      <c r="E45" s="14" t="s">
        <v>102</v>
      </c>
      <c r="F45" s="14" t="s">
        <v>77</v>
      </c>
      <c r="G45" s="14" t="s">
        <v>42</v>
      </c>
      <c r="H45" s="38">
        <v>100</v>
      </c>
      <c r="I45" s="14">
        <v>39</v>
      </c>
      <c r="J45" s="38">
        <v>100</v>
      </c>
      <c r="K45" s="14">
        <f t="shared" si="4"/>
        <v>3900</v>
      </c>
      <c r="L45" s="39">
        <f t="shared" si="5"/>
        <v>585</v>
      </c>
      <c r="M45" s="114">
        <f t="shared" si="6"/>
        <v>4485</v>
      </c>
      <c r="N45" s="33"/>
      <c r="O45" s="33"/>
      <c r="P45" s="35"/>
    </row>
    <row r="46" spans="1:16" ht="15.6" x14ac:dyDescent="0.3">
      <c r="A46" s="32">
        <v>46071</v>
      </c>
      <c r="B46" s="32"/>
      <c r="C46" s="32" t="s">
        <v>43</v>
      </c>
      <c r="D46" s="14">
        <v>420</v>
      </c>
      <c r="E46" s="14" t="s">
        <v>149</v>
      </c>
      <c r="F46" s="14" t="s">
        <v>147</v>
      </c>
      <c r="G46" s="14" t="s">
        <v>42</v>
      </c>
      <c r="H46" s="38">
        <v>50</v>
      </c>
      <c r="I46" s="14">
        <v>155</v>
      </c>
      <c r="J46" s="38">
        <v>50</v>
      </c>
      <c r="K46" s="14">
        <f t="shared" si="4"/>
        <v>7750</v>
      </c>
      <c r="L46" s="39">
        <f t="shared" si="5"/>
        <v>1162.5</v>
      </c>
      <c r="M46" s="114">
        <f t="shared" si="6"/>
        <v>8912.5</v>
      </c>
      <c r="N46" s="33"/>
      <c r="O46" s="33"/>
      <c r="P46" s="35"/>
    </row>
    <row r="47" spans="1:16" ht="15.6" x14ac:dyDescent="0.3">
      <c r="A47" s="32">
        <v>46072</v>
      </c>
      <c r="B47" s="32"/>
      <c r="C47" s="32"/>
      <c r="D47" s="14">
        <v>1933</v>
      </c>
      <c r="E47" s="14" t="s">
        <v>156</v>
      </c>
      <c r="F47" s="14" t="s">
        <v>157</v>
      </c>
      <c r="G47" s="14" t="s">
        <v>42</v>
      </c>
      <c r="H47" s="38">
        <v>200</v>
      </c>
      <c r="I47" s="14">
        <v>355</v>
      </c>
      <c r="J47" s="38">
        <v>200</v>
      </c>
      <c r="K47" s="14">
        <f t="shared" si="4"/>
        <v>71000</v>
      </c>
      <c r="L47" s="39">
        <f t="shared" si="5"/>
        <v>10650</v>
      </c>
      <c r="M47" s="114">
        <f t="shared" si="6"/>
        <v>81650</v>
      </c>
      <c r="N47" s="33"/>
      <c r="O47" s="33"/>
      <c r="P47" s="35"/>
    </row>
    <row r="48" spans="1:16" ht="15.6" x14ac:dyDescent="0.3">
      <c r="A48" s="32">
        <v>46072</v>
      </c>
      <c r="B48" s="32"/>
      <c r="C48" s="32"/>
      <c r="D48" s="14">
        <v>1933</v>
      </c>
      <c r="E48" s="14" t="s">
        <v>156</v>
      </c>
      <c r="F48" s="14" t="s">
        <v>95</v>
      </c>
      <c r="G48" s="14" t="s">
        <v>42</v>
      </c>
      <c r="H48" s="14">
        <v>150</v>
      </c>
      <c r="I48" s="14">
        <v>358</v>
      </c>
      <c r="J48" s="14">
        <v>150</v>
      </c>
      <c r="K48" s="14">
        <f t="shared" si="4"/>
        <v>53700</v>
      </c>
      <c r="L48" s="39">
        <f t="shared" si="5"/>
        <v>8055</v>
      </c>
      <c r="M48" s="114">
        <f t="shared" si="6"/>
        <v>61755</v>
      </c>
      <c r="N48" s="33"/>
      <c r="O48" s="33"/>
      <c r="P48" s="35"/>
    </row>
    <row r="49" spans="1:17" ht="15.6" x14ac:dyDescent="0.3">
      <c r="A49" s="32">
        <v>46076</v>
      </c>
      <c r="B49" s="32"/>
      <c r="C49" s="32"/>
      <c r="D49" s="14">
        <v>31893</v>
      </c>
      <c r="E49" s="14" t="s">
        <v>163</v>
      </c>
      <c r="F49" s="14" t="s">
        <v>164</v>
      </c>
      <c r="G49" s="14" t="s">
        <v>42</v>
      </c>
      <c r="H49" s="14">
        <v>1000</v>
      </c>
      <c r="I49" s="14">
        <v>317</v>
      </c>
      <c r="J49" s="14">
        <v>1000</v>
      </c>
      <c r="K49" s="14">
        <f t="shared" si="4"/>
        <v>317000</v>
      </c>
      <c r="L49" s="39">
        <f t="shared" si="5"/>
        <v>47550</v>
      </c>
      <c r="M49" s="114">
        <f t="shared" si="6"/>
        <v>364550</v>
      </c>
      <c r="N49" s="33"/>
      <c r="O49" s="33"/>
      <c r="P49" s="35"/>
    </row>
    <row r="50" spans="1:17" ht="15.6" x14ac:dyDescent="0.3">
      <c r="A50" s="32">
        <v>46076</v>
      </c>
      <c r="B50" s="32"/>
      <c r="C50" s="32"/>
      <c r="D50" s="14">
        <v>31893</v>
      </c>
      <c r="E50" s="14" t="s">
        <v>163</v>
      </c>
      <c r="F50" s="14" t="s">
        <v>165</v>
      </c>
      <c r="G50" s="14" t="s">
        <v>42</v>
      </c>
      <c r="H50" s="14">
        <v>1300</v>
      </c>
      <c r="I50" s="14">
        <v>290</v>
      </c>
      <c r="J50" s="14">
        <v>1300</v>
      </c>
      <c r="K50" s="14">
        <f t="shared" si="4"/>
        <v>377000</v>
      </c>
      <c r="L50" s="39">
        <f t="shared" si="5"/>
        <v>56550</v>
      </c>
      <c r="M50" s="114">
        <f t="shared" si="6"/>
        <v>433550</v>
      </c>
      <c r="N50" s="33"/>
      <c r="O50" s="33"/>
      <c r="P50" s="35"/>
    </row>
    <row r="51" spans="1:17" ht="15.6" x14ac:dyDescent="0.3">
      <c r="A51" s="32">
        <v>46076</v>
      </c>
      <c r="B51" s="32"/>
      <c r="C51" s="32"/>
      <c r="D51" s="14">
        <v>451</v>
      </c>
      <c r="E51" s="14" t="s">
        <v>149</v>
      </c>
      <c r="F51" s="14" t="s">
        <v>147</v>
      </c>
      <c r="G51" s="14" t="s">
        <v>42</v>
      </c>
      <c r="H51" s="14">
        <v>100</v>
      </c>
      <c r="I51" s="14">
        <v>155</v>
      </c>
      <c r="J51" s="14">
        <v>100</v>
      </c>
      <c r="K51" s="14">
        <f t="shared" si="4"/>
        <v>15500</v>
      </c>
      <c r="L51" s="39">
        <f t="shared" si="5"/>
        <v>2325</v>
      </c>
      <c r="M51" s="114">
        <f t="shared" si="6"/>
        <v>17825</v>
      </c>
      <c r="N51" s="33"/>
      <c r="O51" s="33"/>
      <c r="P51" s="35"/>
    </row>
    <row r="52" spans="1:17" ht="15.6" x14ac:dyDescent="0.3">
      <c r="A52" s="32">
        <v>46076</v>
      </c>
      <c r="B52" s="32"/>
      <c r="C52" s="32"/>
      <c r="D52" s="14">
        <v>33</v>
      </c>
      <c r="E52" s="14" t="s">
        <v>166</v>
      </c>
      <c r="F52" s="14" t="s">
        <v>160</v>
      </c>
      <c r="G52" s="14" t="s">
        <v>42</v>
      </c>
      <c r="H52" s="14">
        <v>32</v>
      </c>
      <c r="I52" s="14">
        <v>774</v>
      </c>
      <c r="J52" s="14">
        <v>32</v>
      </c>
      <c r="K52" s="14">
        <f t="shared" si="4"/>
        <v>24768</v>
      </c>
      <c r="L52" s="39">
        <f t="shared" si="5"/>
        <v>3715.2</v>
      </c>
      <c r="M52" s="114">
        <f t="shared" si="6"/>
        <v>28483.200000000001</v>
      </c>
      <c r="N52" s="33"/>
      <c r="O52" s="33"/>
      <c r="P52" s="35"/>
    </row>
    <row r="53" spans="1:17" ht="15.6" x14ac:dyDescent="0.3">
      <c r="A53" s="104">
        <v>46072</v>
      </c>
      <c r="B53" s="104" t="s">
        <v>182</v>
      </c>
      <c r="C53" s="104"/>
      <c r="D53" s="105">
        <v>565</v>
      </c>
      <c r="E53" s="105" t="s">
        <v>168</v>
      </c>
      <c r="F53" s="105" t="s">
        <v>179</v>
      </c>
      <c r="G53" s="105" t="s">
        <v>42</v>
      </c>
      <c r="H53" s="105">
        <v>20</v>
      </c>
      <c r="I53" s="105">
        <v>612</v>
      </c>
      <c r="J53" s="105">
        <v>20</v>
      </c>
      <c r="K53" s="105">
        <f t="shared" si="4"/>
        <v>12240</v>
      </c>
      <c r="L53" s="107">
        <f t="shared" si="5"/>
        <v>1836</v>
      </c>
      <c r="M53" s="108">
        <f t="shared" si="6"/>
        <v>14076</v>
      </c>
      <c r="N53" s="33"/>
      <c r="O53" s="90"/>
      <c r="P53" s="91"/>
      <c r="Q53" s="92"/>
    </row>
    <row r="54" spans="1:17" ht="15.6" x14ac:dyDescent="0.3">
      <c r="A54" s="104">
        <v>46072</v>
      </c>
      <c r="B54" s="104" t="s">
        <v>182</v>
      </c>
      <c r="C54" s="104"/>
      <c r="D54" s="105">
        <v>566</v>
      </c>
      <c r="E54" s="105" t="s">
        <v>168</v>
      </c>
      <c r="F54" s="105" t="s">
        <v>179</v>
      </c>
      <c r="G54" s="105" t="s">
        <v>42</v>
      </c>
      <c r="H54" s="105">
        <v>10</v>
      </c>
      <c r="I54" s="105">
        <v>612</v>
      </c>
      <c r="J54" s="105">
        <v>10</v>
      </c>
      <c r="K54" s="105">
        <f t="shared" si="4"/>
        <v>6120</v>
      </c>
      <c r="L54" s="107">
        <f t="shared" si="5"/>
        <v>918</v>
      </c>
      <c r="M54" s="108">
        <f t="shared" si="6"/>
        <v>7038</v>
      </c>
      <c r="N54" s="33"/>
      <c r="O54" s="90"/>
      <c r="P54" s="91"/>
      <c r="Q54" s="92"/>
    </row>
    <row r="55" spans="1:17" ht="15.6" x14ac:dyDescent="0.3">
      <c r="A55" s="32">
        <v>46077</v>
      </c>
      <c r="B55" s="32"/>
      <c r="C55" s="32" t="s">
        <v>43</v>
      </c>
      <c r="D55" s="14">
        <v>8390</v>
      </c>
      <c r="E55" s="14" t="s">
        <v>102</v>
      </c>
      <c r="F55" s="14" t="s">
        <v>77</v>
      </c>
      <c r="G55" s="14" t="s">
        <v>42</v>
      </c>
      <c r="H55" s="14">
        <v>100</v>
      </c>
      <c r="I55" s="14">
        <v>39</v>
      </c>
      <c r="J55" s="14">
        <v>100</v>
      </c>
      <c r="K55" s="14">
        <f t="shared" si="4"/>
        <v>3900</v>
      </c>
      <c r="L55" s="39">
        <f t="shared" si="5"/>
        <v>585</v>
      </c>
      <c r="M55" s="114">
        <f t="shared" si="6"/>
        <v>4485</v>
      </c>
      <c r="N55" s="33"/>
      <c r="O55" s="33"/>
      <c r="P55" s="35"/>
    </row>
    <row r="56" spans="1:17" ht="15.6" x14ac:dyDescent="0.3">
      <c r="A56" s="32">
        <v>46077</v>
      </c>
      <c r="B56" s="32"/>
      <c r="C56" s="32" t="s">
        <v>43</v>
      </c>
      <c r="D56" s="14">
        <v>8392</v>
      </c>
      <c r="E56" s="14" t="s">
        <v>102</v>
      </c>
      <c r="F56" s="14" t="s">
        <v>77</v>
      </c>
      <c r="G56" s="14" t="s">
        <v>42</v>
      </c>
      <c r="H56" s="14">
        <v>50</v>
      </c>
      <c r="I56" s="14">
        <v>39</v>
      </c>
      <c r="J56" s="14">
        <v>50</v>
      </c>
      <c r="K56" s="14">
        <f t="shared" si="4"/>
        <v>1950</v>
      </c>
      <c r="L56" s="39">
        <f t="shared" si="5"/>
        <v>292.5</v>
      </c>
      <c r="M56" s="114">
        <f t="shared" si="6"/>
        <v>2242.5</v>
      </c>
      <c r="N56" s="33"/>
      <c r="O56" s="33"/>
      <c r="P56" s="35"/>
    </row>
    <row r="57" spans="1:17" ht="15.6" x14ac:dyDescent="0.3">
      <c r="A57" s="32">
        <v>46079</v>
      </c>
      <c r="B57" s="32"/>
      <c r="C57" s="32" t="s">
        <v>43</v>
      </c>
      <c r="D57" s="14">
        <v>8397</v>
      </c>
      <c r="E57" s="14" t="s">
        <v>102</v>
      </c>
      <c r="F57" s="14" t="s">
        <v>77</v>
      </c>
      <c r="G57" s="14" t="s">
        <v>42</v>
      </c>
      <c r="H57" s="14">
        <v>100</v>
      </c>
      <c r="I57" s="14">
        <v>39</v>
      </c>
      <c r="J57" s="14">
        <v>100</v>
      </c>
      <c r="K57" s="14">
        <f t="shared" si="4"/>
        <v>3900</v>
      </c>
      <c r="L57" s="39">
        <f t="shared" si="5"/>
        <v>585</v>
      </c>
      <c r="M57" s="114">
        <f t="shared" si="6"/>
        <v>4485</v>
      </c>
      <c r="N57" s="33"/>
      <c r="O57" s="33"/>
      <c r="P57" s="35"/>
    </row>
    <row r="58" spans="1:17" ht="15.6" x14ac:dyDescent="0.3">
      <c r="A58" s="32">
        <v>46079</v>
      </c>
      <c r="B58" s="32"/>
      <c r="C58" s="32"/>
      <c r="D58" s="14">
        <v>3023</v>
      </c>
      <c r="E58" s="14" t="s">
        <v>101</v>
      </c>
      <c r="F58" s="14" t="s">
        <v>178</v>
      </c>
      <c r="G58" s="14" t="s">
        <v>42</v>
      </c>
      <c r="H58" s="14">
        <v>29</v>
      </c>
      <c r="I58" s="14">
        <v>612</v>
      </c>
      <c r="J58" s="14">
        <v>29</v>
      </c>
      <c r="K58" s="14">
        <f t="shared" si="4"/>
        <v>17748</v>
      </c>
      <c r="L58" s="39">
        <f t="shared" si="5"/>
        <v>2662.2</v>
      </c>
      <c r="M58" s="114">
        <f t="shared" si="6"/>
        <v>20410.2</v>
      </c>
      <c r="N58" s="33"/>
      <c r="O58" s="33"/>
      <c r="P58" s="35"/>
    </row>
    <row r="59" spans="1:17" ht="15.6" x14ac:dyDescent="0.3">
      <c r="A59" s="32">
        <v>46079</v>
      </c>
      <c r="B59" s="32"/>
      <c r="C59" s="32"/>
      <c r="D59" s="14">
        <v>3023</v>
      </c>
      <c r="E59" s="14" t="s">
        <v>101</v>
      </c>
      <c r="F59" s="14" t="s">
        <v>177</v>
      </c>
      <c r="G59" s="14" t="s">
        <v>42</v>
      </c>
      <c r="H59" s="14">
        <v>150</v>
      </c>
      <c r="I59" s="14">
        <v>280</v>
      </c>
      <c r="J59" s="14">
        <v>150</v>
      </c>
      <c r="K59" s="14">
        <f t="shared" si="4"/>
        <v>42000</v>
      </c>
      <c r="L59" s="39">
        <f t="shared" si="5"/>
        <v>6300</v>
      </c>
      <c r="M59" s="114">
        <f t="shared" si="6"/>
        <v>48300</v>
      </c>
      <c r="N59" s="33"/>
      <c r="O59" s="33"/>
      <c r="P59" s="35"/>
    </row>
    <row r="60" spans="1:17" x14ac:dyDescent="0.3">
      <c r="A60" s="104">
        <v>46082</v>
      </c>
      <c r="B60" s="104" t="s">
        <v>182</v>
      </c>
      <c r="C60" s="104"/>
      <c r="D60" s="105">
        <v>14777</v>
      </c>
      <c r="E60" s="105" t="s">
        <v>44</v>
      </c>
      <c r="F60" s="105" t="s">
        <v>180</v>
      </c>
      <c r="G60" s="105" t="s">
        <v>42</v>
      </c>
      <c r="H60" s="105">
        <v>200</v>
      </c>
      <c r="I60" s="105">
        <v>25</v>
      </c>
      <c r="J60" s="105">
        <v>4352</v>
      </c>
      <c r="K60" s="105">
        <f t="shared" si="4"/>
        <v>108800</v>
      </c>
      <c r="L60" s="107">
        <f t="shared" si="5"/>
        <v>16320</v>
      </c>
      <c r="M60" s="108">
        <f t="shared" si="6"/>
        <v>125120</v>
      </c>
      <c r="N60" s="33"/>
      <c r="O60" s="90"/>
      <c r="P60" s="109"/>
      <c r="Q60" s="92"/>
    </row>
    <row r="61" spans="1:17" ht="15.6" x14ac:dyDescent="0.3">
      <c r="A61" s="32">
        <v>46081</v>
      </c>
      <c r="B61" s="32"/>
      <c r="C61" s="32"/>
      <c r="D61" s="14">
        <v>3074</v>
      </c>
      <c r="E61" s="14" t="s">
        <v>101</v>
      </c>
      <c r="F61" s="14" t="s">
        <v>177</v>
      </c>
      <c r="G61" s="14" t="s">
        <v>42</v>
      </c>
      <c r="H61" s="14">
        <v>5</v>
      </c>
      <c r="I61" s="14">
        <v>280</v>
      </c>
      <c r="J61" s="14">
        <v>5</v>
      </c>
      <c r="K61" s="14">
        <f t="shared" si="4"/>
        <v>1400</v>
      </c>
      <c r="L61" s="39">
        <f t="shared" si="5"/>
        <v>210</v>
      </c>
      <c r="M61" s="114">
        <f t="shared" si="6"/>
        <v>1610</v>
      </c>
      <c r="N61" s="33"/>
      <c r="O61" s="33"/>
      <c r="P61" s="35"/>
    </row>
    <row r="62" spans="1:17" ht="15.6" x14ac:dyDescent="0.3">
      <c r="A62" s="32">
        <v>46084</v>
      </c>
      <c r="B62" s="32"/>
      <c r="C62" s="32"/>
      <c r="D62" s="14">
        <v>3077</v>
      </c>
      <c r="E62" s="14" t="s">
        <v>101</v>
      </c>
      <c r="F62" s="14" t="s">
        <v>207</v>
      </c>
      <c r="G62" s="14" t="s">
        <v>42</v>
      </c>
      <c r="H62" s="14">
        <v>30</v>
      </c>
      <c r="I62" s="14">
        <v>621</v>
      </c>
      <c r="J62" s="14">
        <v>30</v>
      </c>
      <c r="K62" s="14">
        <f t="shared" si="4"/>
        <v>18630</v>
      </c>
      <c r="L62" s="39">
        <f t="shared" si="5"/>
        <v>2794.5</v>
      </c>
      <c r="M62" s="114">
        <f t="shared" si="6"/>
        <v>21424.5</v>
      </c>
      <c r="N62" s="33"/>
      <c r="O62" s="33"/>
      <c r="P62" s="35"/>
    </row>
    <row r="63" spans="1:17" ht="15.6" x14ac:dyDescent="0.3">
      <c r="A63" s="32">
        <v>46085</v>
      </c>
      <c r="B63" s="32"/>
      <c r="C63" s="32"/>
      <c r="D63" s="14">
        <v>3096</v>
      </c>
      <c r="E63" s="14" t="s">
        <v>101</v>
      </c>
      <c r="F63" s="14" t="s">
        <v>187</v>
      </c>
      <c r="G63" s="14" t="s">
        <v>202</v>
      </c>
      <c r="H63" s="14">
        <v>1100</v>
      </c>
      <c r="I63" s="14">
        <v>17.5</v>
      </c>
      <c r="J63" s="14">
        <v>18008.48</v>
      </c>
      <c r="K63" s="14">
        <f t="shared" si="4"/>
        <v>315148.39999999997</v>
      </c>
      <c r="L63" s="39">
        <f t="shared" si="5"/>
        <v>47272.259999999995</v>
      </c>
      <c r="M63" s="33">
        <f t="shared" si="6"/>
        <v>362420.66</v>
      </c>
      <c r="N63" s="33"/>
      <c r="O63" s="33"/>
      <c r="P63" s="35"/>
    </row>
    <row r="64" spans="1:17" ht="15.6" x14ac:dyDescent="0.3">
      <c r="A64" s="100">
        <v>46088</v>
      </c>
      <c r="B64" s="100" t="s">
        <v>146</v>
      </c>
      <c r="C64" s="100"/>
      <c r="D64" s="80"/>
      <c r="E64" s="80" t="s">
        <v>56</v>
      </c>
      <c r="F64" s="80" t="s">
        <v>108</v>
      </c>
      <c r="G64" s="101" t="s">
        <v>202</v>
      </c>
      <c r="H64" s="80">
        <v>-232</v>
      </c>
      <c r="I64" s="80">
        <v>19.5</v>
      </c>
      <c r="J64" s="80">
        <v>-5143.79</v>
      </c>
      <c r="K64" s="80">
        <f t="shared" si="4"/>
        <v>-100303.905</v>
      </c>
      <c r="L64" s="102">
        <f t="shared" si="5"/>
        <v>-15045.585749999998</v>
      </c>
      <c r="M64" s="103">
        <f t="shared" si="6"/>
        <v>-115349.49075</v>
      </c>
      <c r="N64" s="103"/>
      <c r="O64" s="103"/>
      <c r="P64" s="35"/>
    </row>
    <row r="65" spans="1:16" ht="15.6" x14ac:dyDescent="0.3">
      <c r="A65" s="32">
        <v>46090</v>
      </c>
      <c r="B65" s="32"/>
      <c r="C65" s="32"/>
      <c r="D65" s="14">
        <v>59</v>
      </c>
      <c r="E65" s="14" t="s">
        <v>68</v>
      </c>
      <c r="F65" s="14" t="s">
        <v>135</v>
      </c>
      <c r="G65" s="14" t="s">
        <v>42</v>
      </c>
      <c r="H65" s="14">
        <v>751</v>
      </c>
      <c r="I65" s="14">
        <v>304</v>
      </c>
      <c r="J65" s="14">
        <v>751</v>
      </c>
      <c r="K65" s="14">
        <f t="shared" si="4"/>
        <v>228304</v>
      </c>
      <c r="L65" s="39">
        <f t="shared" si="5"/>
        <v>34245.599999999999</v>
      </c>
      <c r="M65" s="33">
        <f t="shared" si="6"/>
        <v>262549.59999999998</v>
      </c>
      <c r="N65" s="33"/>
      <c r="O65" s="33"/>
      <c r="P65" s="35"/>
    </row>
    <row r="66" spans="1:16" ht="15.6" x14ac:dyDescent="0.3">
      <c r="A66" s="32">
        <v>46090</v>
      </c>
      <c r="B66" s="32"/>
      <c r="C66" s="32"/>
      <c r="D66" s="14">
        <v>59</v>
      </c>
      <c r="E66" s="14" t="s">
        <v>68</v>
      </c>
      <c r="F66" s="14" t="s">
        <v>152</v>
      </c>
      <c r="G66" s="14" t="s">
        <v>42</v>
      </c>
      <c r="H66" s="14">
        <v>569</v>
      </c>
      <c r="I66" s="14">
        <v>345</v>
      </c>
      <c r="J66" s="14">
        <v>569</v>
      </c>
      <c r="K66" s="14">
        <f t="shared" si="4"/>
        <v>196305</v>
      </c>
      <c r="L66" s="39">
        <f t="shared" si="5"/>
        <v>29445.75</v>
      </c>
      <c r="M66" s="33">
        <f t="shared" si="6"/>
        <v>225750.75</v>
      </c>
      <c r="N66" s="33"/>
      <c r="O66" s="33"/>
      <c r="P66" s="35"/>
    </row>
    <row r="67" spans="1:16" ht="15.6" x14ac:dyDescent="0.3">
      <c r="A67" s="32">
        <v>46090</v>
      </c>
      <c r="B67" s="32"/>
      <c r="C67" s="32"/>
      <c r="D67" s="14">
        <v>59</v>
      </c>
      <c r="E67" s="14" t="s">
        <v>68</v>
      </c>
      <c r="F67" s="14" t="s">
        <v>194</v>
      </c>
      <c r="G67" s="14" t="s">
        <v>42</v>
      </c>
      <c r="H67" s="14">
        <v>30</v>
      </c>
      <c r="I67" s="14">
        <v>680</v>
      </c>
      <c r="J67" s="14">
        <v>30</v>
      </c>
      <c r="K67" s="14">
        <f t="shared" si="4"/>
        <v>20400</v>
      </c>
      <c r="L67" s="39">
        <f t="shared" si="5"/>
        <v>3060</v>
      </c>
      <c r="M67" s="33">
        <f t="shared" si="6"/>
        <v>23460</v>
      </c>
      <c r="N67" s="33"/>
      <c r="O67" s="33"/>
      <c r="P67" s="35"/>
    </row>
    <row r="68" spans="1:16" x14ac:dyDescent="0.3">
      <c r="A68" s="32">
        <v>46092</v>
      </c>
      <c r="B68" s="32"/>
      <c r="C68" s="32"/>
      <c r="D68" s="14">
        <v>37</v>
      </c>
      <c r="E68" s="14" t="s">
        <v>166</v>
      </c>
      <c r="F68" s="14" t="s">
        <v>196</v>
      </c>
      <c r="G68" s="14" t="s">
        <v>42</v>
      </c>
      <c r="H68" s="14">
        <v>30</v>
      </c>
      <c r="I68" s="14">
        <v>846</v>
      </c>
      <c r="J68" s="14">
        <v>30</v>
      </c>
      <c r="K68" s="14">
        <f t="shared" ref="K68:K103" si="7">I68*J68</f>
        <v>25380</v>
      </c>
      <c r="L68" s="39">
        <f t="shared" ref="L68:L103" si="8">K68*15%</f>
        <v>3807</v>
      </c>
      <c r="M68" s="33">
        <f t="shared" ref="M68:M103" si="9">K68+L68</f>
        <v>29187</v>
      </c>
      <c r="N68" s="33"/>
      <c r="O68" s="33"/>
      <c r="P68" s="85"/>
    </row>
    <row r="69" spans="1:16" ht="15.6" x14ac:dyDescent="0.3">
      <c r="A69" s="32">
        <v>46095</v>
      </c>
      <c r="B69" s="32"/>
      <c r="C69" s="32"/>
      <c r="D69" s="14"/>
      <c r="E69" s="95" t="s">
        <v>201</v>
      </c>
      <c r="F69" s="95" t="s">
        <v>53</v>
      </c>
      <c r="G69" s="95" t="s">
        <v>202</v>
      </c>
      <c r="H69" s="95">
        <v>22</v>
      </c>
      <c r="I69" s="95">
        <f>51/1.15</f>
        <v>44.347826086956523</v>
      </c>
      <c r="J69" s="95">
        <v>356.48</v>
      </c>
      <c r="K69" s="95">
        <f t="shared" si="7"/>
        <v>15809.113043478263</v>
      </c>
      <c r="L69" s="111">
        <f t="shared" si="8"/>
        <v>2371.3669565217392</v>
      </c>
      <c r="M69" s="112">
        <f t="shared" si="9"/>
        <v>18180.480000000003</v>
      </c>
      <c r="N69" s="33"/>
      <c r="O69" s="33"/>
      <c r="P69" s="35"/>
    </row>
    <row r="70" spans="1:16" ht="15.6" x14ac:dyDescent="0.3">
      <c r="A70" s="32">
        <v>46095</v>
      </c>
      <c r="B70" s="32"/>
      <c r="C70" s="32"/>
      <c r="D70" s="14"/>
      <c r="E70" s="95" t="s">
        <v>201</v>
      </c>
      <c r="F70" s="96" t="s">
        <v>200</v>
      </c>
      <c r="G70" s="95" t="s">
        <v>202</v>
      </c>
      <c r="H70" s="95">
        <v>16</v>
      </c>
      <c r="I70" s="95">
        <f>51/1.15</f>
        <v>44.347826086956523</v>
      </c>
      <c r="J70" s="95">
        <v>177.33</v>
      </c>
      <c r="K70" s="95">
        <f t="shared" si="7"/>
        <v>7864.2000000000007</v>
      </c>
      <c r="L70" s="111">
        <f t="shared" si="8"/>
        <v>1179.6300000000001</v>
      </c>
      <c r="M70" s="112">
        <f t="shared" si="9"/>
        <v>9043.8300000000017</v>
      </c>
      <c r="N70" s="33"/>
      <c r="O70" s="33"/>
      <c r="P70" s="35"/>
    </row>
    <row r="71" spans="1:16" ht="15.6" x14ac:dyDescent="0.3">
      <c r="A71" s="32">
        <v>46096</v>
      </c>
      <c r="B71" s="32"/>
      <c r="C71" s="32"/>
      <c r="D71" s="14">
        <v>3214</v>
      </c>
      <c r="E71" s="14" t="s">
        <v>101</v>
      </c>
      <c r="F71" s="14" t="s">
        <v>204</v>
      </c>
      <c r="G71" s="14" t="s">
        <v>202</v>
      </c>
      <c r="H71" s="14">
        <v>748</v>
      </c>
      <c r="I71" s="14">
        <v>24.5</v>
      </c>
      <c r="J71" s="14">
        <v>13842.4</v>
      </c>
      <c r="K71" s="14">
        <f t="shared" si="7"/>
        <v>339138.8</v>
      </c>
      <c r="L71" s="39">
        <f t="shared" si="8"/>
        <v>50870.82</v>
      </c>
      <c r="M71" s="114">
        <f t="shared" si="9"/>
        <v>390009.62</v>
      </c>
      <c r="N71" s="114"/>
      <c r="O71" s="114"/>
      <c r="P71" s="115"/>
    </row>
    <row r="72" spans="1:16" ht="15.6" x14ac:dyDescent="0.3">
      <c r="A72" s="32">
        <v>46096</v>
      </c>
      <c r="B72" s="32"/>
      <c r="C72" s="32"/>
      <c r="D72" s="14">
        <v>3214</v>
      </c>
      <c r="E72" s="14" t="s">
        <v>101</v>
      </c>
      <c r="F72" s="14" t="s">
        <v>203</v>
      </c>
      <c r="G72" s="14" t="s">
        <v>202</v>
      </c>
      <c r="H72" s="14">
        <v>524</v>
      </c>
      <c r="I72" s="14">
        <v>26.8</v>
      </c>
      <c r="J72" s="14">
        <v>10170.34</v>
      </c>
      <c r="K72" s="14">
        <f t="shared" si="7"/>
        <v>272565.11200000002</v>
      </c>
      <c r="L72" s="39">
        <f t="shared" si="8"/>
        <v>40884.766800000005</v>
      </c>
      <c r="M72" s="114">
        <f t="shared" si="9"/>
        <v>313449.87880000001</v>
      </c>
      <c r="N72" s="114"/>
      <c r="O72" s="114"/>
      <c r="P72" s="115"/>
    </row>
    <row r="73" spans="1:16" ht="15.6" x14ac:dyDescent="0.3">
      <c r="A73" s="32">
        <v>46097</v>
      </c>
      <c r="B73" s="32"/>
      <c r="C73" s="32"/>
      <c r="D73" s="14">
        <v>65</v>
      </c>
      <c r="E73" s="14" t="s">
        <v>68</v>
      </c>
      <c r="F73" s="14" t="s">
        <v>206</v>
      </c>
      <c r="G73" s="14" t="s">
        <v>42</v>
      </c>
      <c r="H73" s="14">
        <v>882</v>
      </c>
      <c r="I73" s="14">
        <v>395</v>
      </c>
      <c r="J73" s="14">
        <v>882</v>
      </c>
      <c r="K73" s="14">
        <f t="shared" si="7"/>
        <v>348390</v>
      </c>
      <c r="L73" s="39">
        <f t="shared" si="8"/>
        <v>52258.5</v>
      </c>
      <c r="M73" s="33">
        <f t="shared" si="9"/>
        <v>400648.5</v>
      </c>
      <c r="N73" s="33"/>
      <c r="O73" s="33"/>
      <c r="P73" s="35"/>
    </row>
    <row r="74" spans="1:16" ht="15.6" x14ac:dyDescent="0.3">
      <c r="A74" s="32">
        <v>46097</v>
      </c>
      <c r="B74" s="32"/>
      <c r="C74" s="32"/>
      <c r="D74" s="14">
        <v>65</v>
      </c>
      <c r="E74" s="14" t="s">
        <v>68</v>
      </c>
      <c r="F74" s="14" t="s">
        <v>207</v>
      </c>
      <c r="G74" s="14" t="s">
        <v>42</v>
      </c>
      <c r="H74" s="14">
        <v>350</v>
      </c>
      <c r="I74" s="14">
        <v>625</v>
      </c>
      <c r="J74" s="14">
        <v>350</v>
      </c>
      <c r="K74" s="14">
        <f t="shared" si="7"/>
        <v>218750</v>
      </c>
      <c r="L74" s="39">
        <f t="shared" si="8"/>
        <v>32812.5</v>
      </c>
      <c r="M74" s="33">
        <f t="shared" si="9"/>
        <v>251562.5</v>
      </c>
      <c r="N74" s="33"/>
      <c r="O74" s="33"/>
      <c r="P74" s="35"/>
    </row>
    <row r="75" spans="1:16" ht="15.6" x14ac:dyDescent="0.3">
      <c r="A75" s="32">
        <v>46098</v>
      </c>
      <c r="B75" s="32"/>
      <c r="C75" s="32"/>
      <c r="D75" s="14">
        <v>68</v>
      </c>
      <c r="E75" s="14" t="s">
        <v>68</v>
      </c>
      <c r="F75" s="14" t="s">
        <v>55</v>
      </c>
      <c r="G75" s="14" t="s">
        <v>42</v>
      </c>
      <c r="H75" s="14">
        <v>2000</v>
      </c>
      <c r="I75" s="14">
        <v>203</v>
      </c>
      <c r="J75" s="14">
        <v>2000</v>
      </c>
      <c r="K75" s="14">
        <f t="shared" si="7"/>
        <v>406000</v>
      </c>
      <c r="L75" s="39">
        <f t="shared" si="8"/>
        <v>60900</v>
      </c>
      <c r="M75" s="33">
        <f t="shared" si="9"/>
        <v>466900</v>
      </c>
      <c r="N75" s="33"/>
      <c r="O75" s="33"/>
      <c r="P75" s="35"/>
    </row>
    <row r="76" spans="1:16" ht="15.6" x14ac:dyDescent="0.3">
      <c r="A76" s="32">
        <v>46106</v>
      </c>
      <c r="B76" s="32"/>
      <c r="C76" s="32"/>
      <c r="D76" s="14">
        <v>1019</v>
      </c>
      <c r="E76" s="14" t="s">
        <v>56</v>
      </c>
      <c r="F76" s="14" t="s">
        <v>208</v>
      </c>
      <c r="G76" s="14" t="s">
        <v>42</v>
      </c>
      <c r="H76" s="14">
        <v>1330</v>
      </c>
      <c r="I76" s="14">
        <v>318</v>
      </c>
      <c r="J76" s="14">
        <v>1330</v>
      </c>
      <c r="K76" s="14">
        <f t="shared" si="7"/>
        <v>422940</v>
      </c>
      <c r="L76" s="39">
        <f t="shared" si="8"/>
        <v>63441</v>
      </c>
      <c r="M76" s="33">
        <f t="shared" si="9"/>
        <v>486381</v>
      </c>
      <c r="N76" s="33"/>
      <c r="O76" s="33"/>
      <c r="P76" s="35"/>
    </row>
    <row r="77" spans="1:16" ht="15.6" x14ac:dyDescent="0.3">
      <c r="A77" s="32">
        <v>46106</v>
      </c>
      <c r="B77" s="32"/>
      <c r="C77" s="32"/>
      <c r="D77" s="14">
        <v>32267</v>
      </c>
      <c r="E77" s="14" t="s">
        <v>209</v>
      </c>
      <c r="F77" s="14" t="s">
        <v>210</v>
      </c>
      <c r="G77" s="14" t="s">
        <v>42</v>
      </c>
      <c r="H77" s="14">
        <v>1350</v>
      </c>
      <c r="I77" s="14">
        <v>318</v>
      </c>
      <c r="J77" s="14">
        <v>1350</v>
      </c>
      <c r="K77" s="14">
        <f t="shared" si="7"/>
        <v>429300</v>
      </c>
      <c r="L77" s="39">
        <f t="shared" si="8"/>
        <v>64395</v>
      </c>
      <c r="M77" s="33">
        <f t="shared" si="9"/>
        <v>493695</v>
      </c>
      <c r="N77" s="33"/>
      <c r="O77" s="33"/>
      <c r="P77" s="35"/>
    </row>
    <row r="78" spans="1:16" ht="15.6" x14ac:dyDescent="0.3">
      <c r="A78" s="32">
        <v>46107</v>
      </c>
      <c r="B78" s="32"/>
      <c r="C78" s="32"/>
      <c r="D78" s="14">
        <v>32283</v>
      </c>
      <c r="E78" s="14" t="s">
        <v>209</v>
      </c>
      <c r="F78" s="14" t="s">
        <v>214</v>
      </c>
      <c r="G78" s="14" t="s">
        <v>42</v>
      </c>
      <c r="H78" s="14">
        <v>200</v>
      </c>
      <c r="I78" s="14">
        <v>208</v>
      </c>
      <c r="J78" s="14">
        <v>200</v>
      </c>
      <c r="K78" s="14">
        <f t="shared" si="7"/>
        <v>41600</v>
      </c>
      <c r="L78" s="39">
        <f t="shared" si="8"/>
        <v>6240</v>
      </c>
      <c r="M78" s="33">
        <f t="shared" si="9"/>
        <v>47840</v>
      </c>
      <c r="N78" s="33"/>
      <c r="O78" s="33"/>
      <c r="P78" s="35"/>
    </row>
    <row r="79" spans="1:16" ht="15.6" x14ac:dyDescent="0.3">
      <c r="A79" s="32">
        <v>46111</v>
      </c>
      <c r="B79" s="32"/>
      <c r="C79" s="32"/>
      <c r="D79" s="14">
        <v>8457</v>
      </c>
      <c r="E79" s="14" t="s">
        <v>102</v>
      </c>
      <c r="F79" s="14" t="s">
        <v>126</v>
      </c>
      <c r="G79" s="14" t="s">
        <v>42</v>
      </c>
      <c r="H79" s="14">
        <v>901</v>
      </c>
      <c r="I79" s="14">
        <v>410</v>
      </c>
      <c r="J79" s="14">
        <v>901</v>
      </c>
      <c r="K79" s="14">
        <f t="shared" si="7"/>
        <v>369410</v>
      </c>
      <c r="L79" s="39">
        <f t="shared" si="8"/>
        <v>55411.5</v>
      </c>
      <c r="M79" s="33">
        <f t="shared" si="9"/>
        <v>424821.5</v>
      </c>
      <c r="N79" s="33"/>
      <c r="O79" s="33"/>
      <c r="P79" s="35"/>
    </row>
    <row r="80" spans="1:16" ht="15.6" x14ac:dyDescent="0.3">
      <c r="A80" s="32">
        <v>46111</v>
      </c>
      <c r="B80" s="32"/>
      <c r="C80" s="32"/>
      <c r="D80" s="14">
        <v>8457</v>
      </c>
      <c r="E80" s="14" t="s">
        <v>102</v>
      </c>
      <c r="F80" s="14" t="s">
        <v>81</v>
      </c>
      <c r="G80" s="14" t="s">
        <v>42</v>
      </c>
      <c r="H80" s="14">
        <v>569</v>
      </c>
      <c r="I80" s="14">
        <v>417</v>
      </c>
      <c r="J80" s="14">
        <v>569</v>
      </c>
      <c r="K80" s="14">
        <f t="shared" si="7"/>
        <v>237273</v>
      </c>
      <c r="L80" s="39">
        <f t="shared" si="8"/>
        <v>35590.949999999997</v>
      </c>
      <c r="M80" s="33">
        <f t="shared" si="9"/>
        <v>272863.95</v>
      </c>
      <c r="N80" s="33"/>
      <c r="O80" s="33"/>
      <c r="P80" s="35"/>
    </row>
    <row r="81" spans="1:16" ht="15.6" x14ac:dyDescent="0.3">
      <c r="A81" s="32">
        <v>46111</v>
      </c>
      <c r="B81" s="32"/>
      <c r="C81" s="32"/>
      <c r="D81" s="14">
        <v>8457</v>
      </c>
      <c r="E81" s="14" t="s">
        <v>102</v>
      </c>
      <c r="F81" s="14" t="s">
        <v>194</v>
      </c>
      <c r="G81" s="14" t="s">
        <v>42</v>
      </c>
      <c r="H81" s="14">
        <v>30</v>
      </c>
      <c r="I81" s="14">
        <v>864</v>
      </c>
      <c r="J81" s="14">
        <v>30</v>
      </c>
      <c r="K81" s="14">
        <f t="shared" si="7"/>
        <v>25920</v>
      </c>
      <c r="L81" s="39">
        <f t="shared" si="8"/>
        <v>3888</v>
      </c>
      <c r="M81" s="33">
        <f t="shared" si="9"/>
        <v>29808</v>
      </c>
      <c r="N81" s="33"/>
      <c r="O81" s="33"/>
      <c r="P81" s="35"/>
    </row>
    <row r="82" spans="1:16" ht="15.6" x14ac:dyDescent="0.3">
      <c r="A82" s="32">
        <v>46112</v>
      </c>
      <c r="B82" s="32"/>
      <c r="C82" s="32"/>
      <c r="D82" s="14">
        <v>8415</v>
      </c>
      <c r="E82" s="14" t="s">
        <v>101</v>
      </c>
      <c r="F82" s="14" t="s">
        <v>217</v>
      </c>
      <c r="G82" s="14" t="s">
        <v>42</v>
      </c>
      <c r="H82" s="14">
        <v>223</v>
      </c>
      <c r="I82" s="14">
        <v>325</v>
      </c>
      <c r="J82" s="14">
        <v>223</v>
      </c>
      <c r="K82" s="14">
        <f t="shared" si="7"/>
        <v>72475</v>
      </c>
      <c r="L82" s="39">
        <f t="shared" si="8"/>
        <v>10871.25</v>
      </c>
      <c r="M82" s="33">
        <f t="shared" si="9"/>
        <v>83346.25</v>
      </c>
      <c r="N82" s="33"/>
      <c r="O82" s="33"/>
      <c r="P82" s="35"/>
    </row>
    <row r="83" spans="1:16" ht="15.6" x14ac:dyDescent="0.3">
      <c r="A83" s="32">
        <v>46112</v>
      </c>
      <c r="B83" s="32"/>
      <c r="C83" s="32"/>
      <c r="D83" s="14">
        <v>8415</v>
      </c>
      <c r="E83" s="14" t="s">
        <v>101</v>
      </c>
      <c r="F83" s="14" t="s">
        <v>218</v>
      </c>
      <c r="G83" s="14" t="s">
        <v>42</v>
      </c>
      <c r="H83" s="14">
        <v>80</v>
      </c>
      <c r="I83" s="14">
        <v>405</v>
      </c>
      <c r="J83" s="14">
        <v>80</v>
      </c>
      <c r="K83" s="14">
        <f t="shared" si="7"/>
        <v>32400</v>
      </c>
      <c r="L83" s="39">
        <f t="shared" si="8"/>
        <v>4860</v>
      </c>
      <c r="M83" s="33">
        <f t="shared" si="9"/>
        <v>37260</v>
      </c>
      <c r="N83" s="33"/>
      <c r="O83" s="33"/>
      <c r="P83" s="35"/>
    </row>
    <row r="84" spans="1:16" ht="15.6" x14ac:dyDescent="0.3">
      <c r="A84" s="32">
        <v>46112</v>
      </c>
      <c r="B84" s="32"/>
      <c r="C84" s="32"/>
      <c r="D84" s="14">
        <v>8415</v>
      </c>
      <c r="E84" s="14" t="s">
        <v>101</v>
      </c>
      <c r="F84" s="14" t="s">
        <v>219</v>
      </c>
      <c r="G84" s="14" t="s">
        <v>42</v>
      </c>
      <c r="H84" s="14">
        <v>60</v>
      </c>
      <c r="I84" s="14">
        <v>405</v>
      </c>
      <c r="J84" s="14">
        <v>60</v>
      </c>
      <c r="K84" s="14">
        <f t="shared" si="7"/>
        <v>24300</v>
      </c>
      <c r="L84" s="39">
        <f t="shared" si="8"/>
        <v>3645</v>
      </c>
      <c r="M84" s="33">
        <f t="shared" si="9"/>
        <v>27945</v>
      </c>
      <c r="N84" s="33"/>
      <c r="O84" s="33"/>
      <c r="P84" s="35"/>
    </row>
    <row r="85" spans="1:16" ht="15.6" x14ac:dyDescent="0.3">
      <c r="A85" s="32"/>
      <c r="B85" s="32"/>
      <c r="C85" s="32"/>
      <c r="D85" s="14"/>
      <c r="E85" s="14"/>
      <c r="F85" s="14"/>
      <c r="G85" s="14"/>
      <c r="H85" s="14"/>
      <c r="I85" s="14"/>
      <c r="J85" s="14"/>
      <c r="K85" s="14">
        <v>0</v>
      </c>
      <c r="L85" s="39">
        <f t="shared" si="8"/>
        <v>0</v>
      </c>
      <c r="M85" s="33">
        <f t="shared" si="9"/>
        <v>0</v>
      </c>
      <c r="N85" s="33"/>
      <c r="O85" s="33"/>
      <c r="P85" s="35"/>
    </row>
    <row r="86" spans="1:16" ht="15.6" x14ac:dyDescent="0.3">
      <c r="A86" s="32"/>
      <c r="B86" s="32"/>
      <c r="C86" s="32"/>
      <c r="D86" s="14"/>
      <c r="E86" s="14"/>
      <c r="F86" s="14"/>
      <c r="G86" s="14"/>
      <c r="H86" s="14"/>
      <c r="I86" s="14"/>
      <c r="J86" s="14"/>
      <c r="K86" s="14">
        <f t="shared" si="7"/>
        <v>0</v>
      </c>
      <c r="L86" s="39">
        <f t="shared" si="8"/>
        <v>0</v>
      </c>
      <c r="M86" s="33">
        <f t="shared" si="9"/>
        <v>0</v>
      </c>
      <c r="N86" s="33"/>
      <c r="O86" s="33"/>
      <c r="P86" s="35"/>
    </row>
    <row r="87" spans="1:16" ht="15.6" x14ac:dyDescent="0.3">
      <c r="A87" s="32"/>
      <c r="B87" s="32"/>
      <c r="C87" s="32"/>
      <c r="D87" s="14"/>
      <c r="E87" s="14"/>
      <c r="F87" s="14"/>
      <c r="G87" s="14"/>
      <c r="H87" s="14"/>
      <c r="I87" s="14"/>
      <c r="J87" s="14"/>
      <c r="K87" s="14">
        <f t="shared" si="7"/>
        <v>0</v>
      </c>
      <c r="L87" s="39">
        <f t="shared" si="8"/>
        <v>0</v>
      </c>
      <c r="M87" s="33">
        <f t="shared" si="9"/>
        <v>0</v>
      </c>
      <c r="N87" s="33"/>
      <c r="O87" s="33"/>
      <c r="P87" s="35"/>
    </row>
    <row r="88" spans="1:16" ht="15.6" x14ac:dyDescent="0.3">
      <c r="A88" s="32"/>
      <c r="B88" s="32"/>
      <c r="C88" s="32"/>
      <c r="D88" s="14"/>
      <c r="E88" s="14"/>
      <c r="F88" s="14"/>
      <c r="G88" s="14"/>
      <c r="H88" s="14"/>
      <c r="I88" s="14"/>
      <c r="J88" s="14"/>
      <c r="K88" s="14">
        <f t="shared" si="7"/>
        <v>0</v>
      </c>
      <c r="L88" s="39">
        <f t="shared" si="8"/>
        <v>0</v>
      </c>
      <c r="M88" s="33">
        <f t="shared" si="9"/>
        <v>0</v>
      </c>
      <c r="N88" s="33"/>
      <c r="O88" s="33"/>
      <c r="P88" s="35"/>
    </row>
    <row r="89" spans="1:16" ht="15.6" x14ac:dyDescent="0.3">
      <c r="A89" s="32"/>
      <c r="B89" s="32"/>
      <c r="C89" s="32"/>
      <c r="D89" s="14"/>
      <c r="E89" s="14"/>
      <c r="F89" s="14"/>
      <c r="G89" s="14"/>
      <c r="H89" s="14"/>
      <c r="I89" s="14"/>
      <c r="J89" s="14"/>
      <c r="K89" s="14">
        <f t="shared" si="7"/>
        <v>0</v>
      </c>
      <c r="L89" s="39">
        <f t="shared" si="8"/>
        <v>0</v>
      </c>
      <c r="M89" s="33">
        <f t="shared" si="9"/>
        <v>0</v>
      </c>
      <c r="N89" s="33"/>
      <c r="O89" s="33"/>
      <c r="P89" s="35"/>
    </row>
    <row r="90" spans="1:16" ht="15.6" x14ac:dyDescent="0.3">
      <c r="A90" s="32"/>
      <c r="B90" s="32"/>
      <c r="C90" s="32"/>
      <c r="D90" s="14"/>
      <c r="E90" s="14"/>
      <c r="F90" s="14"/>
      <c r="G90" s="14"/>
      <c r="H90" s="14"/>
      <c r="I90" s="14"/>
      <c r="J90" s="14"/>
      <c r="K90" s="14">
        <f t="shared" si="7"/>
        <v>0</v>
      </c>
      <c r="L90" s="39">
        <f t="shared" si="8"/>
        <v>0</v>
      </c>
      <c r="M90" s="33">
        <f t="shared" si="9"/>
        <v>0</v>
      </c>
      <c r="N90" s="33"/>
      <c r="O90" s="33"/>
      <c r="P90" s="35"/>
    </row>
    <row r="91" spans="1:16" ht="15.6" x14ac:dyDescent="0.3">
      <c r="A91" s="32"/>
      <c r="B91" s="32"/>
      <c r="C91" s="32"/>
      <c r="D91" s="14"/>
      <c r="E91" s="14"/>
      <c r="F91" s="14"/>
      <c r="G91" s="14"/>
      <c r="H91" s="14"/>
      <c r="I91" s="14"/>
      <c r="J91" s="14"/>
      <c r="K91" s="14">
        <f t="shared" si="7"/>
        <v>0</v>
      </c>
      <c r="L91" s="39">
        <f t="shared" si="8"/>
        <v>0</v>
      </c>
      <c r="M91" s="33">
        <f t="shared" si="9"/>
        <v>0</v>
      </c>
      <c r="N91" s="33"/>
      <c r="O91" s="33"/>
      <c r="P91" s="35"/>
    </row>
    <row r="92" spans="1:16" ht="15.6" x14ac:dyDescent="0.3">
      <c r="A92" s="32"/>
      <c r="B92" s="32"/>
      <c r="C92" s="32"/>
      <c r="D92" s="14"/>
      <c r="E92" s="14"/>
      <c r="F92" s="14"/>
      <c r="G92" s="14"/>
      <c r="H92" s="14"/>
      <c r="I92" s="14"/>
      <c r="J92" s="14"/>
      <c r="K92" s="14">
        <f t="shared" si="7"/>
        <v>0</v>
      </c>
      <c r="L92" s="39">
        <f t="shared" si="8"/>
        <v>0</v>
      </c>
      <c r="M92" s="33">
        <f t="shared" si="9"/>
        <v>0</v>
      </c>
      <c r="N92" s="33"/>
      <c r="O92" s="33"/>
      <c r="P92" s="35"/>
    </row>
    <row r="93" spans="1:16" ht="15.6" x14ac:dyDescent="0.3">
      <c r="A93" s="32"/>
      <c r="B93" s="32"/>
      <c r="C93" s="32"/>
      <c r="D93" s="14"/>
      <c r="E93" s="14"/>
      <c r="F93" s="14"/>
      <c r="G93" s="14"/>
      <c r="H93" s="14"/>
      <c r="I93" s="14"/>
      <c r="J93" s="14"/>
      <c r="K93" s="14">
        <f t="shared" si="7"/>
        <v>0</v>
      </c>
      <c r="L93" s="39">
        <f t="shared" si="8"/>
        <v>0</v>
      </c>
      <c r="M93" s="33">
        <f t="shared" si="9"/>
        <v>0</v>
      </c>
      <c r="N93" s="33"/>
      <c r="O93" s="33"/>
      <c r="P93" s="35"/>
    </row>
    <row r="94" spans="1:16" ht="15.6" x14ac:dyDescent="0.3">
      <c r="A94" s="32"/>
      <c r="B94" s="32"/>
      <c r="C94" s="32"/>
      <c r="D94" s="14"/>
      <c r="E94" s="14"/>
      <c r="F94" s="14"/>
      <c r="G94" s="14"/>
      <c r="H94" s="14"/>
      <c r="I94" s="14"/>
      <c r="J94" s="14"/>
      <c r="K94" s="14">
        <f t="shared" si="7"/>
        <v>0</v>
      </c>
      <c r="L94" s="39">
        <f t="shared" si="8"/>
        <v>0</v>
      </c>
      <c r="M94" s="33">
        <f t="shared" si="9"/>
        <v>0</v>
      </c>
      <c r="N94" s="33"/>
      <c r="O94" s="33"/>
      <c r="P94" s="35"/>
    </row>
    <row r="95" spans="1:16" ht="15.6" x14ac:dyDescent="0.3">
      <c r="A95" s="32"/>
      <c r="B95" s="32"/>
      <c r="C95" s="32"/>
      <c r="D95" s="14"/>
      <c r="E95" s="14"/>
      <c r="F95" s="14"/>
      <c r="G95" s="14"/>
      <c r="H95" s="14"/>
      <c r="I95" s="14"/>
      <c r="J95" s="14"/>
      <c r="K95" s="14">
        <f t="shared" si="7"/>
        <v>0</v>
      </c>
      <c r="L95" s="39">
        <f t="shared" si="8"/>
        <v>0</v>
      </c>
      <c r="M95" s="33">
        <f t="shared" si="9"/>
        <v>0</v>
      </c>
      <c r="N95" s="33"/>
      <c r="O95" s="33"/>
      <c r="P95" s="35"/>
    </row>
    <row r="96" spans="1:16" ht="15.6" x14ac:dyDescent="0.3">
      <c r="A96" s="32"/>
      <c r="B96" s="32"/>
      <c r="C96" s="32"/>
      <c r="D96" s="14"/>
      <c r="E96" s="14"/>
      <c r="F96" s="14"/>
      <c r="G96" s="14"/>
      <c r="H96" s="14"/>
      <c r="I96" s="14"/>
      <c r="J96" s="14"/>
      <c r="K96" s="14">
        <f t="shared" si="7"/>
        <v>0</v>
      </c>
      <c r="L96" s="39">
        <f t="shared" si="8"/>
        <v>0</v>
      </c>
      <c r="M96" s="33">
        <f t="shared" si="9"/>
        <v>0</v>
      </c>
      <c r="N96" s="33"/>
      <c r="O96" s="33"/>
      <c r="P96" s="35"/>
    </row>
    <row r="97" spans="1:16" ht="15.6" x14ac:dyDescent="0.3">
      <c r="A97" s="32"/>
      <c r="B97" s="32"/>
      <c r="C97" s="32"/>
      <c r="D97" s="14"/>
      <c r="E97" s="14"/>
      <c r="F97" s="14"/>
      <c r="G97" s="14"/>
      <c r="H97" s="14"/>
      <c r="I97" s="14"/>
      <c r="J97" s="14"/>
      <c r="K97" s="14">
        <f t="shared" si="7"/>
        <v>0</v>
      </c>
      <c r="L97" s="39">
        <f t="shared" si="8"/>
        <v>0</v>
      </c>
      <c r="M97" s="33">
        <f t="shared" si="9"/>
        <v>0</v>
      </c>
      <c r="N97" s="33"/>
      <c r="O97" s="33"/>
      <c r="P97" s="35"/>
    </row>
    <row r="98" spans="1:16" ht="15.6" x14ac:dyDescent="0.3">
      <c r="A98" s="32"/>
      <c r="B98" s="32"/>
      <c r="C98" s="32"/>
      <c r="D98" s="14"/>
      <c r="E98" s="14"/>
      <c r="F98" s="14"/>
      <c r="G98" s="14"/>
      <c r="H98" s="14"/>
      <c r="I98" s="14"/>
      <c r="J98" s="14"/>
      <c r="K98" s="14">
        <f t="shared" si="7"/>
        <v>0</v>
      </c>
      <c r="L98" s="39">
        <f t="shared" si="8"/>
        <v>0</v>
      </c>
      <c r="M98" s="33">
        <f t="shared" si="9"/>
        <v>0</v>
      </c>
      <c r="N98" s="33"/>
      <c r="O98" s="33"/>
      <c r="P98" s="35"/>
    </row>
    <row r="99" spans="1:16" ht="15.6" x14ac:dyDescent="0.3">
      <c r="A99" s="32"/>
      <c r="B99" s="32"/>
      <c r="C99" s="32"/>
      <c r="D99" s="14"/>
      <c r="E99" s="14"/>
      <c r="F99" s="14"/>
      <c r="G99" s="14"/>
      <c r="H99" s="14"/>
      <c r="I99" s="14"/>
      <c r="J99" s="14"/>
      <c r="K99" s="14">
        <f t="shared" si="7"/>
        <v>0</v>
      </c>
      <c r="L99" s="39">
        <f t="shared" si="8"/>
        <v>0</v>
      </c>
      <c r="M99" s="33">
        <f t="shared" si="9"/>
        <v>0</v>
      </c>
      <c r="N99" s="33"/>
      <c r="O99" s="33"/>
      <c r="P99" s="35"/>
    </row>
    <row r="100" spans="1:16" ht="15.6" x14ac:dyDescent="0.3">
      <c r="A100" s="32"/>
      <c r="B100" s="32"/>
      <c r="C100" s="32"/>
      <c r="D100" s="14"/>
      <c r="E100" s="14"/>
      <c r="F100" s="14"/>
      <c r="G100" s="14"/>
      <c r="H100" s="14"/>
      <c r="I100" s="14"/>
      <c r="J100" s="14"/>
      <c r="K100" s="14">
        <f t="shared" si="7"/>
        <v>0</v>
      </c>
      <c r="L100" s="39">
        <f t="shared" si="8"/>
        <v>0</v>
      </c>
      <c r="M100" s="33">
        <f t="shared" si="9"/>
        <v>0</v>
      </c>
      <c r="N100" s="33"/>
      <c r="O100" s="33"/>
      <c r="P100" s="35"/>
    </row>
    <row r="101" spans="1:16" ht="15.6" x14ac:dyDescent="0.3">
      <c r="A101" s="32"/>
      <c r="B101" s="32"/>
      <c r="C101" s="32"/>
      <c r="D101" s="14"/>
      <c r="E101" s="14"/>
      <c r="F101" s="14"/>
      <c r="G101" s="14"/>
      <c r="H101" s="14"/>
      <c r="I101" s="14"/>
      <c r="J101" s="14"/>
      <c r="K101" s="14">
        <f t="shared" si="7"/>
        <v>0</v>
      </c>
      <c r="L101" s="39">
        <f t="shared" si="8"/>
        <v>0</v>
      </c>
      <c r="M101" s="33">
        <f t="shared" si="9"/>
        <v>0</v>
      </c>
      <c r="N101" s="33"/>
      <c r="O101" s="33"/>
      <c r="P101" s="35"/>
    </row>
    <row r="102" spans="1:16" ht="15.6" x14ac:dyDescent="0.3">
      <c r="A102" s="32"/>
      <c r="B102" s="32"/>
      <c r="C102" s="32"/>
      <c r="D102" s="14"/>
      <c r="E102" s="14"/>
      <c r="F102" s="14"/>
      <c r="G102" s="14"/>
      <c r="H102" s="14"/>
      <c r="I102" s="14"/>
      <c r="J102" s="14"/>
      <c r="K102" s="14">
        <f t="shared" si="7"/>
        <v>0</v>
      </c>
      <c r="L102" s="39">
        <f t="shared" si="8"/>
        <v>0</v>
      </c>
      <c r="M102" s="33">
        <f t="shared" si="9"/>
        <v>0</v>
      </c>
      <c r="N102" s="33"/>
      <c r="O102" s="33"/>
      <c r="P102" s="35"/>
    </row>
    <row r="103" spans="1:16" ht="15.6" x14ac:dyDescent="0.3">
      <c r="A103" s="32"/>
      <c r="B103" s="32"/>
      <c r="C103" s="32"/>
      <c r="D103" s="14"/>
      <c r="E103" s="14"/>
      <c r="F103" s="14"/>
      <c r="G103" s="14"/>
      <c r="H103" s="14"/>
      <c r="I103" s="14"/>
      <c r="J103" s="14"/>
      <c r="K103" s="14">
        <f t="shared" si="7"/>
        <v>0</v>
      </c>
      <c r="L103" s="39">
        <f t="shared" si="8"/>
        <v>0</v>
      </c>
      <c r="M103" s="33">
        <f t="shared" si="9"/>
        <v>0</v>
      </c>
      <c r="N103" s="33"/>
      <c r="O103" s="33"/>
      <c r="P103" s="35"/>
    </row>
    <row r="104" spans="1:16" x14ac:dyDescent="0.3">
      <c r="A104" s="32"/>
      <c r="B104" s="32"/>
      <c r="C104" s="32"/>
      <c r="D104" s="14"/>
      <c r="E104" s="14"/>
      <c r="F104" s="14"/>
      <c r="G104" s="14"/>
      <c r="H104" s="14"/>
      <c r="I104" s="14"/>
      <c r="J104" s="36">
        <f>SUBTOTAL(9,J3:J103)</f>
        <v>107909.53</v>
      </c>
      <c r="K104" s="36">
        <f>SUBTOTAL(9,K3:K103)</f>
        <v>11190097.960043479</v>
      </c>
      <c r="L104" s="36">
        <f t="shared" ref="L104:N104" si="10">SUBTOTAL(9,L3:L103)</f>
        <v>1678514.6940065215</v>
      </c>
      <c r="M104" s="36">
        <f t="shared" si="10"/>
        <v>12868612.654049998</v>
      </c>
      <c r="N104" s="36">
        <f t="shared" si="10"/>
        <v>127644.25</v>
      </c>
      <c r="O104" s="33"/>
    </row>
    <row r="108" spans="1:16" x14ac:dyDescent="0.3">
      <c r="I108" s="125"/>
      <c r="J108" s="125"/>
      <c r="K108" s="125"/>
      <c r="L108" s="77"/>
      <c r="M108" s="77"/>
    </row>
    <row r="109" spans="1:16" x14ac:dyDescent="0.3">
      <c r="I109" s="125"/>
      <c r="J109" s="125"/>
      <c r="K109" s="125"/>
      <c r="L109" s="77"/>
      <c r="M109" s="77"/>
    </row>
    <row r="110" spans="1:16" x14ac:dyDescent="0.3">
      <c r="L110" s="77"/>
      <c r="M110" s="77"/>
    </row>
    <row r="111" spans="1:16" x14ac:dyDescent="0.3">
      <c r="L111" s="77"/>
      <c r="M111" s="77"/>
    </row>
    <row r="112" spans="1:16" x14ac:dyDescent="0.3">
      <c r="L112" s="77"/>
      <c r="M112" s="77"/>
    </row>
    <row r="113" spans="12:13" x14ac:dyDescent="0.3">
      <c r="L113" s="77"/>
      <c r="M113" s="77"/>
    </row>
    <row r="115" spans="12:13" x14ac:dyDescent="0.3">
      <c r="M115" s="77"/>
    </row>
    <row r="117" spans="12:13" x14ac:dyDescent="0.3">
      <c r="L117" s="77"/>
    </row>
    <row r="118" spans="12:13" x14ac:dyDescent="0.3">
      <c r="L118" s="77"/>
    </row>
    <row r="121" spans="12:13" x14ac:dyDescent="0.3">
      <c r="M121" s="77"/>
    </row>
  </sheetData>
  <autoFilter ref="A2:P103" xr:uid="{CF4513C2-E4B1-4F2C-BF53-64FB0F7DF429}"/>
  <mergeCells count="2">
    <mergeCell ref="I108:K108"/>
    <mergeCell ref="I109:K10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يناير 2026</vt:lpstr>
      <vt:lpstr>فبراير 2026</vt:lpstr>
      <vt:lpstr>مارس 2026</vt:lpstr>
      <vt:lpstr>المشتريات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 habbash</cp:lastModifiedBy>
  <cp:lastPrinted>2026-04-01T12:51:20Z</cp:lastPrinted>
  <dcterms:created xsi:type="dcterms:W3CDTF">2015-06-05T18:17:20Z</dcterms:created>
  <dcterms:modified xsi:type="dcterms:W3CDTF">2026-06-22T14:48:02Z</dcterms:modified>
</cp:coreProperties>
</file>
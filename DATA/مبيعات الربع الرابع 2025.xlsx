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حسابات شركة طاهي الشرق الاوسط\ملفات مرسلة الي ايهان\"/>
    </mc:Choice>
  </mc:AlternateContent>
  <xr:revisionPtr revIDLastSave="0" documentId="13_ncr:1_{36D28A2C-87D8-4972-965E-AEF4CD0E68BD}" xr6:coauthVersionLast="47" xr6:coauthVersionMax="47" xr10:uidLastSave="{00000000-0000-0000-0000-000000000000}"/>
  <bookViews>
    <workbookView xWindow="-108" yWindow="-108" windowWidth="23256" windowHeight="13896" tabRatio="919" activeTab="1" xr2:uid="{00000000-000D-0000-FFFF-FFFF00000000}"/>
  </bookViews>
  <sheets>
    <sheet name="المشتريات" sheetId="5" r:id="rId1"/>
    <sheet name="مبيعات شهر ديسمبر" sheetId="15" r:id="rId2"/>
    <sheet name="مبيعات شهر نوفمبر" sheetId="6" r:id="rId3"/>
    <sheet name="مبيعات شهر اكتوبر " sheetId="3" r:id="rId4"/>
  </sheets>
  <definedNames>
    <definedName name="_xlnm._FilterDatabase" localSheetId="0" hidden="1">المشتريات!$A$2:$L$75</definedName>
    <definedName name="_xlnm._FilterDatabase" localSheetId="3" hidden="1">'مبيعات شهر اكتوبر '!$A$2:$O$55</definedName>
    <definedName name="_xlnm._FilterDatabase" localSheetId="1" hidden="1">'مبيعات شهر ديسمبر'!$A$2:$N$167</definedName>
    <definedName name="_xlnm._FilterDatabase" localSheetId="2" hidden="1">'مبيعات شهر نوفمبر'!$A$2:$O$158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5" l="1"/>
  <c r="K29" i="5" s="1"/>
  <c r="J28" i="5"/>
  <c r="K28" i="5" s="1"/>
  <c r="L29" i="5" l="1"/>
  <c r="L28" i="5"/>
  <c r="I110" i="15" l="1"/>
  <c r="J110" i="15" s="1"/>
  <c r="I109" i="15"/>
  <c r="J109" i="15" s="1"/>
  <c r="K109" i="15" s="1"/>
  <c r="K110" i="15" l="1"/>
  <c r="H168" i="15" l="1"/>
  <c r="F168" i="15"/>
  <c r="I164" i="15"/>
  <c r="J164" i="15" l="1"/>
  <c r="K164" i="15" s="1"/>
  <c r="J57" i="5"/>
  <c r="K57" i="5" s="1"/>
  <c r="L57" i="5" s="1"/>
  <c r="J72" i="5" l="1"/>
  <c r="K72" i="5" s="1"/>
  <c r="L72" i="5" s="1"/>
  <c r="J73" i="5"/>
  <c r="K73" i="5" s="1"/>
  <c r="L73" i="5" s="1"/>
  <c r="J74" i="5"/>
  <c r="K74" i="5" s="1"/>
  <c r="L74" i="5" s="1"/>
  <c r="J75" i="5"/>
  <c r="K75" i="5" s="1"/>
  <c r="L75" i="5" s="1"/>
  <c r="N75" i="5" s="1"/>
  <c r="I122" i="15" l="1"/>
  <c r="J122" i="15" s="1"/>
  <c r="K122" i="15" s="1"/>
  <c r="H166" i="15" l="1"/>
  <c r="I67" i="15" l="1"/>
  <c r="J67" i="15" s="1"/>
  <c r="K67" i="15" s="1"/>
  <c r="J50" i="5" l="1"/>
  <c r="K50" i="5" s="1"/>
  <c r="L50" i="5" s="1"/>
  <c r="J49" i="5"/>
  <c r="K49" i="5" s="1"/>
  <c r="L49" i="5" s="1"/>
  <c r="J48" i="5"/>
  <c r="K48" i="5" s="1"/>
  <c r="L48" i="5" s="1"/>
  <c r="J47" i="5"/>
  <c r="K47" i="5" s="1"/>
  <c r="J46" i="5"/>
  <c r="K46" i="5" s="1"/>
  <c r="L47" i="5" l="1"/>
  <c r="L46" i="5"/>
  <c r="J63" i="5" l="1"/>
  <c r="J64" i="5"/>
  <c r="J65" i="5"/>
  <c r="J66" i="5"/>
  <c r="J67" i="5"/>
  <c r="J68" i="5"/>
  <c r="J69" i="5"/>
  <c r="J70" i="5"/>
  <c r="J71" i="5"/>
  <c r="J36" i="5"/>
  <c r="K36" i="5" s="1"/>
  <c r="L36" i="5" s="1"/>
  <c r="J37" i="5"/>
  <c r="K37" i="5" s="1"/>
  <c r="L37" i="5" s="1"/>
  <c r="J38" i="5"/>
  <c r="K38" i="5" s="1"/>
  <c r="L38" i="5" s="1"/>
  <c r="I41" i="15"/>
  <c r="J41" i="15" s="1"/>
  <c r="K70" i="5" l="1"/>
  <c r="L70" i="5" s="1"/>
  <c r="K69" i="5"/>
  <c r="L69" i="5" s="1"/>
  <c r="K68" i="5"/>
  <c r="L68" i="5" s="1"/>
  <c r="K67" i="5"/>
  <c r="L67" i="5" s="1"/>
  <c r="K66" i="5"/>
  <c r="L66" i="5" s="1"/>
  <c r="K65" i="5"/>
  <c r="L65" i="5" s="1"/>
  <c r="K64" i="5"/>
  <c r="L64" i="5" s="1"/>
  <c r="K63" i="5"/>
  <c r="L63" i="5" s="1"/>
  <c r="K71" i="5"/>
  <c r="L71" i="5" s="1"/>
  <c r="K41" i="15"/>
  <c r="J43" i="5" l="1"/>
  <c r="K43" i="5" s="1"/>
  <c r="L43" i="5" s="1"/>
  <c r="J44" i="5"/>
  <c r="K44" i="5" s="1"/>
  <c r="L44" i="5" s="1"/>
  <c r="J45" i="5"/>
  <c r="K45" i="5" s="1"/>
  <c r="L45" i="5" s="1"/>
  <c r="J51" i="5"/>
  <c r="J52" i="5"/>
  <c r="J53" i="5"/>
  <c r="K53" i="5" s="1"/>
  <c r="J54" i="5"/>
  <c r="J55" i="5"/>
  <c r="J56" i="5"/>
  <c r="J58" i="5"/>
  <c r="K58" i="5" s="1"/>
  <c r="L58" i="5" s="1"/>
  <c r="J59" i="5"/>
  <c r="K59" i="5" s="1"/>
  <c r="L59" i="5" s="1"/>
  <c r="J60" i="5"/>
  <c r="K60" i="5" s="1"/>
  <c r="L60" i="5" s="1"/>
  <c r="J61" i="5"/>
  <c r="K61" i="5" s="1"/>
  <c r="L61" i="5" s="1"/>
  <c r="J62" i="5"/>
  <c r="K62" i="5" s="1"/>
  <c r="L62" i="5" s="1"/>
  <c r="H35" i="5"/>
  <c r="K56" i="5" l="1"/>
  <c r="L56" i="5" s="1"/>
  <c r="K55" i="5"/>
  <c r="L55" i="5" s="1"/>
  <c r="K54" i="5"/>
  <c r="L54" i="5" s="1"/>
  <c r="K52" i="5"/>
  <c r="L52" i="5" s="1"/>
  <c r="L53" i="5"/>
  <c r="K51" i="5"/>
  <c r="L51" i="5" s="1"/>
  <c r="I49" i="15"/>
  <c r="I50" i="15"/>
  <c r="J50" i="15" s="1"/>
  <c r="I64" i="15"/>
  <c r="J64" i="15" s="1"/>
  <c r="K64" i="15" s="1"/>
  <c r="K50" i="15" l="1"/>
  <c r="J49" i="15"/>
  <c r="K49" i="15" s="1"/>
  <c r="J32" i="5" l="1"/>
  <c r="K32" i="5" l="1"/>
  <c r="L32" i="5" s="1"/>
  <c r="I76" i="5" l="1"/>
  <c r="F166" i="15" l="1"/>
  <c r="I165" i="15"/>
  <c r="I163" i="15"/>
  <c r="I162" i="15"/>
  <c r="J162" i="15" s="1"/>
  <c r="K162" i="15" s="1"/>
  <c r="I161" i="15"/>
  <c r="I160" i="15"/>
  <c r="I159" i="15"/>
  <c r="I158" i="15"/>
  <c r="J158" i="15" s="1"/>
  <c r="I157" i="15"/>
  <c r="I156" i="15"/>
  <c r="I155" i="15"/>
  <c r="I154" i="15"/>
  <c r="I153" i="15"/>
  <c r="J153" i="15" s="1"/>
  <c r="I152" i="15"/>
  <c r="I151" i="15"/>
  <c r="I150" i="15"/>
  <c r="I149" i="15"/>
  <c r="I148" i="15"/>
  <c r="I147" i="15"/>
  <c r="I146" i="15"/>
  <c r="J146" i="15" s="1"/>
  <c r="I145" i="15"/>
  <c r="J145" i="15" s="1"/>
  <c r="I144" i="15"/>
  <c r="I143" i="15"/>
  <c r="I142" i="15"/>
  <c r="I141" i="15"/>
  <c r="I140" i="15"/>
  <c r="I139" i="15"/>
  <c r="I138" i="15"/>
  <c r="J138" i="15" s="1"/>
  <c r="I137" i="15"/>
  <c r="J137" i="15" s="1"/>
  <c r="I136" i="15"/>
  <c r="I135" i="15"/>
  <c r="I134" i="15"/>
  <c r="I133" i="15"/>
  <c r="I132" i="15"/>
  <c r="I131" i="15"/>
  <c r="I130" i="15"/>
  <c r="J130" i="15" s="1"/>
  <c r="I129" i="15"/>
  <c r="I128" i="15"/>
  <c r="I127" i="15"/>
  <c r="I126" i="15"/>
  <c r="I125" i="15"/>
  <c r="I124" i="15"/>
  <c r="I123" i="15"/>
  <c r="J123" i="15" s="1"/>
  <c r="I121" i="15"/>
  <c r="I120" i="15"/>
  <c r="I119" i="15"/>
  <c r="I118" i="15"/>
  <c r="I117" i="15"/>
  <c r="I116" i="15"/>
  <c r="I115" i="15"/>
  <c r="I114" i="15"/>
  <c r="J114" i="15" s="1"/>
  <c r="I113" i="15"/>
  <c r="I112" i="15"/>
  <c r="I111" i="15"/>
  <c r="I108" i="15"/>
  <c r="I107" i="15"/>
  <c r="I106" i="15"/>
  <c r="I105" i="15"/>
  <c r="I104" i="15"/>
  <c r="J104" i="15" s="1"/>
  <c r="I103" i="15"/>
  <c r="J103" i="15" s="1"/>
  <c r="I102" i="15"/>
  <c r="I101" i="15"/>
  <c r="I100" i="15"/>
  <c r="I99" i="15"/>
  <c r="J99" i="15" s="1"/>
  <c r="I98" i="15"/>
  <c r="I97" i="15"/>
  <c r="I96" i="15"/>
  <c r="I95" i="15"/>
  <c r="I94" i="15"/>
  <c r="I93" i="15"/>
  <c r="I92" i="15"/>
  <c r="I91" i="15"/>
  <c r="J91" i="15" s="1"/>
  <c r="I90" i="15"/>
  <c r="I89" i="15"/>
  <c r="I88" i="15"/>
  <c r="I87" i="15"/>
  <c r="J87" i="15" s="1"/>
  <c r="I86" i="15"/>
  <c r="I85" i="15"/>
  <c r="I84" i="15"/>
  <c r="I83" i="15"/>
  <c r="J83" i="15" s="1"/>
  <c r="I82" i="15"/>
  <c r="I81" i="15"/>
  <c r="I80" i="15"/>
  <c r="I79" i="15"/>
  <c r="I78" i="15"/>
  <c r="I77" i="15"/>
  <c r="I76" i="15"/>
  <c r="I75" i="15"/>
  <c r="J75" i="15" s="1"/>
  <c r="I74" i="15"/>
  <c r="I73" i="15"/>
  <c r="I72" i="15"/>
  <c r="J72" i="15" s="1"/>
  <c r="I71" i="15"/>
  <c r="J71" i="15" s="1"/>
  <c r="I70" i="15"/>
  <c r="I69" i="15"/>
  <c r="I68" i="15"/>
  <c r="I66" i="15"/>
  <c r="I65" i="15"/>
  <c r="I63" i="15"/>
  <c r="I62" i="15"/>
  <c r="I61" i="15"/>
  <c r="I60" i="15"/>
  <c r="I59" i="15"/>
  <c r="I58" i="15"/>
  <c r="J58" i="15" s="1"/>
  <c r="I57" i="15"/>
  <c r="J57" i="15" s="1"/>
  <c r="I56" i="15"/>
  <c r="I55" i="15"/>
  <c r="I54" i="15"/>
  <c r="I53" i="15"/>
  <c r="J53" i="15" s="1"/>
  <c r="I52" i="15"/>
  <c r="I51" i="15"/>
  <c r="I48" i="15"/>
  <c r="I47" i="15"/>
  <c r="I46" i="15"/>
  <c r="I45" i="15"/>
  <c r="I44" i="15"/>
  <c r="I43" i="15"/>
  <c r="I42" i="15"/>
  <c r="I40" i="15"/>
  <c r="I39" i="15"/>
  <c r="I38" i="15"/>
  <c r="J38" i="15" s="1"/>
  <c r="I37" i="15"/>
  <c r="I36" i="15"/>
  <c r="I35" i="15"/>
  <c r="I34" i="15"/>
  <c r="J34" i="15" s="1"/>
  <c r="I33" i="15"/>
  <c r="I32" i="15"/>
  <c r="I31" i="15"/>
  <c r="I30" i="15"/>
  <c r="I29" i="15"/>
  <c r="I28" i="15"/>
  <c r="I27" i="15"/>
  <c r="I26" i="15"/>
  <c r="J26" i="15" s="1"/>
  <c r="I25" i="15"/>
  <c r="I24" i="15"/>
  <c r="I23" i="15"/>
  <c r="J23" i="15" s="1"/>
  <c r="I22" i="15"/>
  <c r="I21" i="15"/>
  <c r="I20" i="15"/>
  <c r="I19" i="15"/>
  <c r="J19" i="15" s="1"/>
  <c r="I18" i="15"/>
  <c r="I17" i="15"/>
  <c r="I16" i="15"/>
  <c r="I15" i="15"/>
  <c r="I14" i="15"/>
  <c r="I13" i="15"/>
  <c r="I12" i="15"/>
  <c r="I11" i="15"/>
  <c r="I10" i="15"/>
  <c r="I9" i="15"/>
  <c r="I8" i="15"/>
  <c r="J8" i="15" s="1"/>
  <c r="I7" i="15"/>
  <c r="J7" i="15" s="1"/>
  <c r="I6" i="15"/>
  <c r="I5" i="15"/>
  <c r="I4" i="15"/>
  <c r="I3" i="15"/>
  <c r="I168" i="15" l="1"/>
  <c r="I169" i="15" s="1"/>
  <c r="I166" i="15"/>
  <c r="J61" i="15"/>
  <c r="K61" i="15" s="1"/>
  <c r="J129" i="15"/>
  <c r="K129" i="15" s="1"/>
  <c r="K57" i="15"/>
  <c r="J161" i="15"/>
  <c r="K161" i="15" s="1"/>
  <c r="K75" i="15"/>
  <c r="J157" i="15"/>
  <c r="K157" i="15" s="1"/>
  <c r="K26" i="15"/>
  <c r="J47" i="15"/>
  <c r="K47" i="15" s="1"/>
  <c r="K91" i="15"/>
  <c r="K23" i="15"/>
  <c r="J133" i="15"/>
  <c r="K133" i="15" s="1"/>
  <c r="J125" i="15"/>
  <c r="K125" i="15" s="1"/>
  <c r="K145" i="15"/>
  <c r="K99" i="15"/>
  <c r="K71" i="15"/>
  <c r="J149" i="15"/>
  <c r="K149" i="15" s="1"/>
  <c r="J30" i="15"/>
  <c r="K30" i="15" s="1"/>
  <c r="J107" i="15"/>
  <c r="K107" i="15" s="1"/>
  <c r="K19" i="15"/>
  <c r="J79" i="15"/>
  <c r="K79" i="15" s="1"/>
  <c r="K38" i="15"/>
  <c r="J121" i="15"/>
  <c r="K121" i="15" s="1"/>
  <c r="J11" i="15"/>
  <c r="K11" i="15" s="1"/>
  <c r="J141" i="15"/>
  <c r="K141" i="15" s="1"/>
  <c r="K83" i="15"/>
  <c r="J113" i="15"/>
  <c r="K113" i="15" s="1"/>
  <c r="J3" i="15"/>
  <c r="K53" i="15"/>
  <c r="K103" i="15"/>
  <c r="K153" i="15"/>
  <c r="J15" i="15"/>
  <c r="J43" i="15"/>
  <c r="K43" i="15" s="1"/>
  <c r="J95" i="15"/>
  <c r="K95" i="15" s="1"/>
  <c r="K7" i="15"/>
  <c r="K34" i="15"/>
  <c r="J66" i="15"/>
  <c r="K66" i="15" s="1"/>
  <c r="K87" i="15"/>
  <c r="J117" i="15"/>
  <c r="K117" i="15" s="1"/>
  <c r="K137" i="15"/>
  <c r="J4" i="15"/>
  <c r="K4" i="15" s="1"/>
  <c r="J12" i="15"/>
  <c r="K12" i="15" s="1"/>
  <c r="J16" i="15"/>
  <c r="K16" i="15" s="1"/>
  <c r="J24" i="15"/>
  <c r="K24" i="15" s="1"/>
  <c r="J31" i="15"/>
  <c r="K31" i="15" s="1"/>
  <c r="J39" i="15"/>
  <c r="K39" i="15" s="1"/>
  <c r="J48" i="15"/>
  <c r="K48" i="15" s="1"/>
  <c r="J68" i="15"/>
  <c r="K68" i="15" s="1"/>
  <c r="J80" i="15"/>
  <c r="K80" i="15" s="1"/>
  <c r="J88" i="15"/>
  <c r="K88" i="15" s="1"/>
  <c r="J96" i="15"/>
  <c r="K96" i="15" s="1"/>
  <c r="J100" i="15"/>
  <c r="K100" i="15" s="1"/>
  <c r="J108" i="15"/>
  <c r="K108" i="15" s="1"/>
  <c r="J118" i="15"/>
  <c r="K118" i="15" s="1"/>
  <c r="J126" i="15"/>
  <c r="K126" i="15" s="1"/>
  <c r="J134" i="15"/>
  <c r="K134" i="15" s="1"/>
  <c r="J142" i="15"/>
  <c r="K142" i="15" s="1"/>
  <c r="J150" i="15"/>
  <c r="K150" i="15" s="1"/>
  <c r="K8" i="15"/>
  <c r="K58" i="15"/>
  <c r="K72" i="15"/>
  <c r="K104" i="15"/>
  <c r="K114" i="15"/>
  <c r="K123" i="15"/>
  <c r="K130" i="15"/>
  <c r="K138" i="15"/>
  <c r="K146" i="15"/>
  <c r="K158" i="15"/>
  <c r="J5" i="15"/>
  <c r="K5" i="15" s="1"/>
  <c r="J9" i="15"/>
  <c r="K9" i="15" s="1"/>
  <c r="J13" i="15"/>
  <c r="K13" i="15" s="1"/>
  <c r="J17" i="15"/>
  <c r="K17" i="15" s="1"/>
  <c r="J21" i="15"/>
  <c r="K21" i="15" s="1"/>
  <c r="J28" i="15"/>
  <c r="K28" i="15" s="1"/>
  <c r="J32" i="15"/>
  <c r="K32" i="15" s="1"/>
  <c r="J36" i="15"/>
  <c r="K36" i="15" s="1"/>
  <c r="J40" i="15"/>
  <c r="K40" i="15" s="1"/>
  <c r="J45" i="15"/>
  <c r="K45" i="15" s="1"/>
  <c r="J51" i="15"/>
  <c r="K51" i="15" s="1"/>
  <c r="J55" i="15"/>
  <c r="K55" i="15" s="1"/>
  <c r="J59" i="15"/>
  <c r="K59" i="15" s="1"/>
  <c r="J63" i="15"/>
  <c r="K63" i="15" s="1"/>
  <c r="J69" i="15"/>
  <c r="K69" i="15" s="1"/>
  <c r="J73" i="15"/>
  <c r="K73" i="15" s="1"/>
  <c r="J77" i="15"/>
  <c r="K77" i="15" s="1"/>
  <c r="J81" i="15"/>
  <c r="K81" i="15" s="1"/>
  <c r="J85" i="15"/>
  <c r="K85" i="15" s="1"/>
  <c r="J89" i="15"/>
  <c r="K89" i="15" s="1"/>
  <c r="J93" i="15"/>
  <c r="K93" i="15" s="1"/>
  <c r="J97" i="15"/>
  <c r="K97" i="15" s="1"/>
  <c r="J101" i="15"/>
  <c r="K101" i="15" s="1"/>
  <c r="J105" i="15"/>
  <c r="K105" i="15" s="1"/>
  <c r="J111" i="15"/>
  <c r="K111" i="15" s="1"/>
  <c r="J115" i="15"/>
  <c r="K115" i="15" s="1"/>
  <c r="J119" i="15"/>
  <c r="K119" i="15" s="1"/>
  <c r="J127" i="15"/>
  <c r="K127" i="15" s="1"/>
  <c r="J131" i="15"/>
  <c r="K131" i="15" s="1"/>
  <c r="J135" i="15"/>
  <c r="K135" i="15" s="1"/>
  <c r="J139" i="15"/>
  <c r="K139" i="15" s="1"/>
  <c r="J143" i="15"/>
  <c r="K143" i="15" s="1"/>
  <c r="J147" i="15"/>
  <c r="K147" i="15" s="1"/>
  <c r="J151" i="15"/>
  <c r="K151" i="15" s="1"/>
  <c r="J155" i="15"/>
  <c r="K155" i="15" s="1"/>
  <c r="J159" i="15"/>
  <c r="K159" i="15" s="1"/>
  <c r="J163" i="15"/>
  <c r="K163" i="15" s="1"/>
  <c r="J20" i="15"/>
  <c r="K20" i="15" s="1"/>
  <c r="J27" i="15"/>
  <c r="K27" i="15" s="1"/>
  <c r="J35" i="15"/>
  <c r="K35" i="15" s="1"/>
  <c r="J44" i="15"/>
  <c r="K44" i="15" s="1"/>
  <c r="J54" i="15"/>
  <c r="K54" i="15" s="1"/>
  <c r="J62" i="15"/>
  <c r="K62" i="15" s="1"/>
  <c r="J76" i="15"/>
  <c r="K76" i="15" s="1"/>
  <c r="J84" i="15"/>
  <c r="K84" i="15" s="1"/>
  <c r="J92" i="15"/>
  <c r="K92" i="15" s="1"/>
  <c r="J154" i="15"/>
  <c r="K154" i="15" s="1"/>
  <c r="J6" i="15"/>
  <c r="K6" i="15" s="1"/>
  <c r="J14" i="15"/>
  <c r="K14" i="15" s="1"/>
  <c r="J22" i="15"/>
  <c r="K22" i="15" s="1"/>
  <c r="J29" i="15"/>
  <c r="K29" i="15" s="1"/>
  <c r="J42" i="15"/>
  <c r="K42" i="15" s="1"/>
  <c r="J52" i="15"/>
  <c r="K52" i="15" s="1"/>
  <c r="J65" i="15"/>
  <c r="K65" i="15" s="1"/>
  <c r="J90" i="15"/>
  <c r="J165" i="15"/>
  <c r="K165" i="15" s="1"/>
  <c r="J10" i="15"/>
  <c r="K10" i="15" s="1"/>
  <c r="J18" i="15"/>
  <c r="K18" i="15" s="1"/>
  <c r="J25" i="15"/>
  <c r="K25" i="15" s="1"/>
  <c r="J33" i="15"/>
  <c r="K33" i="15" s="1"/>
  <c r="J37" i="15"/>
  <c r="K37" i="15" s="1"/>
  <c r="J46" i="15"/>
  <c r="K46" i="15" s="1"/>
  <c r="J56" i="15"/>
  <c r="K56" i="15" s="1"/>
  <c r="J60" i="15"/>
  <c r="K60" i="15" s="1"/>
  <c r="J70" i="15"/>
  <c r="K70" i="15" s="1"/>
  <c r="J74" i="15"/>
  <c r="K74" i="15" s="1"/>
  <c r="J78" i="15"/>
  <c r="K78" i="15" s="1"/>
  <c r="J82" i="15"/>
  <c r="K82" i="15" s="1"/>
  <c r="J86" i="15"/>
  <c r="K86" i="15" s="1"/>
  <c r="J94" i="15"/>
  <c r="K94" i="15" s="1"/>
  <c r="J98" i="15"/>
  <c r="K98" i="15" s="1"/>
  <c r="J102" i="15"/>
  <c r="K102" i="15" s="1"/>
  <c r="J106" i="15"/>
  <c r="K106" i="15" s="1"/>
  <c r="J112" i="15"/>
  <c r="K112" i="15" s="1"/>
  <c r="J116" i="15"/>
  <c r="K116" i="15" s="1"/>
  <c r="J120" i="15"/>
  <c r="K120" i="15" s="1"/>
  <c r="J124" i="15"/>
  <c r="K124" i="15" s="1"/>
  <c r="J128" i="15"/>
  <c r="K128" i="15" s="1"/>
  <c r="J132" i="15"/>
  <c r="K132" i="15" s="1"/>
  <c r="J136" i="15"/>
  <c r="K136" i="15" s="1"/>
  <c r="J140" i="15"/>
  <c r="K140" i="15" s="1"/>
  <c r="J144" i="15"/>
  <c r="K144" i="15" s="1"/>
  <c r="J148" i="15"/>
  <c r="K148" i="15" s="1"/>
  <c r="J152" i="15"/>
  <c r="K152" i="15" s="1"/>
  <c r="J156" i="15"/>
  <c r="K156" i="15" s="1"/>
  <c r="J160" i="15"/>
  <c r="K160" i="15" s="1"/>
  <c r="I142" i="6"/>
  <c r="I143" i="6"/>
  <c r="J143" i="6" s="1"/>
  <c r="K143" i="6" s="1"/>
  <c r="I144" i="6"/>
  <c r="J144" i="6" s="1"/>
  <c r="K144" i="6" s="1"/>
  <c r="I145" i="6"/>
  <c r="J145" i="6" s="1"/>
  <c r="K145" i="6" s="1"/>
  <c r="I146" i="6"/>
  <c r="J146" i="6" s="1"/>
  <c r="K146" i="6" s="1"/>
  <c r="I147" i="6"/>
  <c r="J147" i="6" s="1"/>
  <c r="K147" i="6" s="1"/>
  <c r="I148" i="6"/>
  <c r="J148" i="6" s="1"/>
  <c r="K148" i="6" s="1"/>
  <c r="I149" i="6"/>
  <c r="J149" i="6" s="1"/>
  <c r="K149" i="6" s="1"/>
  <c r="I150" i="6"/>
  <c r="J150" i="6" s="1"/>
  <c r="K150" i="6" s="1"/>
  <c r="I151" i="6"/>
  <c r="J151" i="6" s="1"/>
  <c r="K151" i="6" s="1"/>
  <c r="I152" i="6"/>
  <c r="J152" i="6" s="1"/>
  <c r="K152" i="6" s="1"/>
  <c r="I153" i="6"/>
  <c r="I154" i="6"/>
  <c r="I155" i="6"/>
  <c r="J155" i="6" s="1"/>
  <c r="K155" i="6" s="1"/>
  <c r="I156" i="6"/>
  <c r="J156" i="6" s="1"/>
  <c r="K156" i="6" s="1"/>
  <c r="I157" i="6"/>
  <c r="J157" i="6" s="1"/>
  <c r="K157" i="6" s="1"/>
  <c r="I158" i="6"/>
  <c r="J158" i="6" s="1"/>
  <c r="K158" i="6" s="1"/>
  <c r="I167" i="15" l="1"/>
  <c r="K90" i="15"/>
  <c r="J168" i="15"/>
  <c r="K15" i="15"/>
  <c r="J166" i="15"/>
  <c r="K3" i="15"/>
  <c r="J154" i="6"/>
  <c r="K154" i="6" s="1"/>
  <c r="J142" i="6"/>
  <c r="K142" i="6" s="1"/>
  <c r="J153" i="6"/>
  <c r="K153" i="6" s="1"/>
  <c r="K168" i="15" l="1"/>
  <c r="K166" i="15"/>
  <c r="J24" i="5" l="1"/>
  <c r="K24" i="5" s="1"/>
  <c r="L24" i="5" s="1"/>
  <c r="J25" i="5"/>
  <c r="K25" i="5" s="1"/>
  <c r="L25" i="5" s="1"/>
  <c r="J26" i="5"/>
  <c r="K26" i="5" s="1"/>
  <c r="J33" i="5"/>
  <c r="K33" i="5" s="1"/>
  <c r="L33" i="5" s="1"/>
  <c r="J34" i="5"/>
  <c r="K34" i="5" s="1"/>
  <c r="L34" i="5" s="1"/>
  <c r="J35" i="5"/>
  <c r="K35" i="5" s="1"/>
  <c r="L35" i="5" s="1"/>
  <c r="J39" i="5"/>
  <c r="K39" i="5" s="1"/>
  <c r="L39" i="5" s="1"/>
  <c r="J40" i="5"/>
  <c r="K40" i="5" s="1"/>
  <c r="L40" i="5" s="1"/>
  <c r="J41" i="5"/>
  <c r="K41" i="5" s="1"/>
  <c r="L41" i="5" s="1"/>
  <c r="J42" i="5"/>
  <c r="I125" i="6"/>
  <c r="I126" i="6"/>
  <c r="J126" i="6" s="1"/>
  <c r="I127" i="6"/>
  <c r="J127" i="6" s="1"/>
  <c r="I128" i="6"/>
  <c r="J128" i="6" s="1"/>
  <c r="I129" i="6"/>
  <c r="J129" i="6" s="1"/>
  <c r="I130" i="6"/>
  <c r="I131" i="6"/>
  <c r="I132" i="6"/>
  <c r="I133" i="6"/>
  <c r="I134" i="6"/>
  <c r="I135" i="6"/>
  <c r="I136" i="6"/>
  <c r="I137" i="6"/>
  <c r="I138" i="6"/>
  <c r="J138" i="6" s="1"/>
  <c r="I139" i="6"/>
  <c r="J139" i="6" s="1"/>
  <c r="I140" i="6"/>
  <c r="J140" i="6" s="1"/>
  <c r="I141" i="6"/>
  <c r="J141" i="6" s="1"/>
  <c r="K42" i="5" l="1"/>
  <c r="L42" i="5" s="1"/>
  <c r="J137" i="6"/>
  <c r="K137" i="6" s="1"/>
  <c r="K129" i="6"/>
  <c r="K140" i="6"/>
  <c r="K128" i="6"/>
  <c r="J136" i="6"/>
  <c r="K136" i="6" s="1"/>
  <c r="K141" i="6"/>
  <c r="K139" i="6"/>
  <c r="K127" i="6"/>
  <c r="K138" i="6"/>
  <c r="K126" i="6"/>
  <c r="J125" i="6"/>
  <c r="K125" i="6" s="1"/>
  <c r="J135" i="6"/>
  <c r="K135" i="6" s="1"/>
  <c r="J134" i="6"/>
  <c r="K134" i="6" s="1"/>
  <c r="J133" i="6"/>
  <c r="K133" i="6" s="1"/>
  <c r="J132" i="6"/>
  <c r="K132" i="6" s="1"/>
  <c r="J131" i="6"/>
  <c r="K131" i="6" s="1"/>
  <c r="J130" i="6"/>
  <c r="K130" i="6" s="1"/>
  <c r="I111" i="6" l="1"/>
  <c r="I112" i="6"/>
  <c r="I113" i="6"/>
  <c r="I114" i="6"/>
  <c r="I115" i="6"/>
  <c r="I116" i="6"/>
  <c r="J116" i="6" s="1"/>
  <c r="K116" i="6" s="1"/>
  <c r="I117" i="6"/>
  <c r="J117" i="6" s="1"/>
  <c r="K117" i="6" s="1"/>
  <c r="I118" i="6"/>
  <c r="J118" i="6" s="1"/>
  <c r="K118" i="6" s="1"/>
  <c r="I119" i="6"/>
  <c r="J119" i="6" s="1"/>
  <c r="K119" i="6" s="1"/>
  <c r="I120" i="6"/>
  <c r="J120" i="6" s="1"/>
  <c r="K120" i="6" s="1"/>
  <c r="I121" i="6"/>
  <c r="J121" i="6" s="1"/>
  <c r="K121" i="6" s="1"/>
  <c r="I122" i="6"/>
  <c r="I123" i="6"/>
  <c r="I124" i="6"/>
  <c r="I103" i="6"/>
  <c r="I104" i="6"/>
  <c r="I105" i="6"/>
  <c r="J105" i="6" s="1"/>
  <c r="I106" i="6"/>
  <c r="J106" i="6" s="1"/>
  <c r="I107" i="6"/>
  <c r="J107" i="6" s="1"/>
  <c r="I108" i="6"/>
  <c r="J108" i="6" s="1"/>
  <c r="I109" i="6"/>
  <c r="I110" i="6"/>
  <c r="J110" i="6" s="1"/>
  <c r="J115" i="6" l="1"/>
  <c r="K115" i="6" s="1"/>
  <c r="J114" i="6"/>
  <c r="K114" i="6" s="1"/>
  <c r="J113" i="6"/>
  <c r="K113" i="6" s="1"/>
  <c r="J124" i="6"/>
  <c r="K124" i="6" s="1"/>
  <c r="J112" i="6"/>
  <c r="K112" i="6" s="1"/>
  <c r="J123" i="6"/>
  <c r="K123" i="6" s="1"/>
  <c r="J111" i="6"/>
  <c r="K111" i="6" s="1"/>
  <c r="J122" i="6"/>
  <c r="K122" i="6" s="1"/>
  <c r="K107" i="6"/>
  <c r="K105" i="6"/>
  <c r="J104" i="6"/>
  <c r="K104" i="6" s="1"/>
  <c r="J103" i="6"/>
  <c r="K103" i="6" s="1"/>
  <c r="K108" i="6"/>
  <c r="J109" i="6"/>
  <c r="K109" i="6" s="1"/>
  <c r="K106" i="6"/>
  <c r="K110" i="6"/>
  <c r="I90" i="6" l="1"/>
  <c r="J90" i="6" s="1"/>
  <c r="K90" i="6" s="1"/>
  <c r="I91" i="6"/>
  <c r="J91" i="6" s="1"/>
  <c r="K91" i="6" s="1"/>
  <c r="I92" i="6"/>
  <c r="I93" i="6"/>
  <c r="I94" i="6"/>
  <c r="I95" i="6"/>
  <c r="I96" i="6"/>
  <c r="I97" i="6"/>
  <c r="I98" i="6"/>
  <c r="I99" i="6"/>
  <c r="I100" i="6"/>
  <c r="J100" i="6" s="1"/>
  <c r="K100" i="6" s="1"/>
  <c r="I101" i="6"/>
  <c r="J101" i="6" s="1"/>
  <c r="K101" i="6" s="1"/>
  <c r="I102" i="6"/>
  <c r="J102" i="6" s="1"/>
  <c r="K102" i="6" s="1"/>
  <c r="J99" i="6" l="1"/>
  <c r="K99" i="6" s="1"/>
  <c r="J98" i="6"/>
  <c r="K98" i="6" s="1"/>
  <c r="J97" i="6"/>
  <c r="K97" i="6" s="1"/>
  <c r="J96" i="6"/>
  <c r="K96" i="6" s="1"/>
  <c r="J95" i="6"/>
  <c r="K95" i="6" s="1"/>
  <c r="J94" i="6"/>
  <c r="K94" i="6" s="1"/>
  <c r="J93" i="6"/>
  <c r="K93" i="6" s="1"/>
  <c r="J92" i="6"/>
  <c r="K92" i="6" s="1"/>
  <c r="I81" i="6" l="1"/>
  <c r="J81" i="6" s="1"/>
  <c r="I82" i="6"/>
  <c r="J82" i="6" s="1"/>
  <c r="K82" i="6" s="1"/>
  <c r="I83" i="6"/>
  <c r="J83" i="6" s="1"/>
  <c r="I84" i="6"/>
  <c r="J84" i="6" s="1"/>
  <c r="I85" i="6"/>
  <c r="J85" i="6" s="1"/>
  <c r="I86" i="6"/>
  <c r="J86" i="6" s="1"/>
  <c r="I87" i="6"/>
  <c r="J87" i="6" s="1"/>
  <c r="I88" i="6"/>
  <c r="J88" i="6" s="1"/>
  <c r="I89" i="6"/>
  <c r="J89" i="6" s="1"/>
  <c r="I80" i="6"/>
  <c r="I79" i="6"/>
  <c r="J79" i="6" s="1"/>
  <c r="K79" i="6" s="1"/>
  <c r="I78" i="6"/>
  <c r="J78" i="6" s="1"/>
  <c r="K88" i="6" l="1"/>
  <c r="K87" i="6"/>
  <c r="K86" i="6"/>
  <c r="K89" i="6"/>
  <c r="K83" i="6"/>
  <c r="K85" i="6"/>
  <c r="J80" i="6"/>
  <c r="K80" i="6" s="1"/>
  <c r="K84" i="6"/>
  <c r="K81" i="6"/>
  <c r="K78" i="6"/>
  <c r="I62" i="6"/>
  <c r="I63" i="6"/>
  <c r="J63" i="6" s="1"/>
  <c r="K63" i="6" s="1"/>
  <c r="I64" i="6"/>
  <c r="I65" i="6"/>
  <c r="J65" i="6" s="1"/>
  <c r="K65" i="6" s="1"/>
  <c r="I66" i="6"/>
  <c r="J66" i="6" s="1"/>
  <c r="K66" i="6" s="1"/>
  <c r="I67" i="6"/>
  <c r="J67" i="6" s="1"/>
  <c r="K67" i="6" s="1"/>
  <c r="I68" i="6"/>
  <c r="J68" i="6" s="1"/>
  <c r="I69" i="6"/>
  <c r="J69" i="6" s="1"/>
  <c r="I70" i="6"/>
  <c r="J70" i="6" s="1"/>
  <c r="K70" i="6" s="1"/>
  <c r="I71" i="6"/>
  <c r="J71" i="6" s="1"/>
  <c r="I72" i="6"/>
  <c r="J72" i="6" s="1"/>
  <c r="K72" i="6" s="1"/>
  <c r="I73" i="6"/>
  <c r="J73" i="6" s="1"/>
  <c r="K73" i="6" s="1"/>
  <c r="I74" i="6"/>
  <c r="I75" i="6"/>
  <c r="I76" i="6"/>
  <c r="I77" i="6"/>
  <c r="J77" i="6" s="1"/>
  <c r="K77" i="6" s="1"/>
  <c r="K69" i="6" l="1"/>
  <c r="K68" i="6"/>
  <c r="J62" i="6"/>
  <c r="K62" i="6" s="1"/>
  <c r="J76" i="6"/>
  <c r="K76" i="6" s="1"/>
  <c r="J64" i="6"/>
  <c r="K64" i="6" s="1"/>
  <c r="J74" i="6"/>
  <c r="K74" i="6" s="1"/>
  <c r="K71" i="6"/>
  <c r="J75" i="6"/>
  <c r="K75" i="6" s="1"/>
  <c r="J22" i="5"/>
  <c r="J23" i="5"/>
  <c r="J27" i="5"/>
  <c r="K27" i="5" s="1"/>
  <c r="L27" i="5" s="1"/>
  <c r="J30" i="5"/>
  <c r="K30" i="5" s="1"/>
  <c r="J31" i="5"/>
  <c r="F159" i="6"/>
  <c r="H159" i="6"/>
  <c r="L30" i="5" l="1"/>
  <c r="L26" i="5"/>
  <c r="K31" i="5"/>
  <c r="L31" i="5" s="1"/>
  <c r="K23" i="5"/>
  <c r="L23" i="5" s="1"/>
  <c r="K22" i="5"/>
  <c r="L22" i="5" s="1"/>
  <c r="I12" i="3" l="1"/>
  <c r="J12" i="3" s="1"/>
  <c r="K12" i="3" s="1"/>
  <c r="I40" i="6"/>
  <c r="I23" i="6"/>
  <c r="J23" i="6" s="1"/>
  <c r="K23" i="6" s="1"/>
  <c r="J40" i="6" l="1"/>
  <c r="K40" i="6" s="1"/>
  <c r="M76" i="5"/>
  <c r="J14" i="5"/>
  <c r="J15" i="5"/>
  <c r="K15" i="5" s="1"/>
  <c r="J16" i="5"/>
  <c r="K16" i="5" s="1"/>
  <c r="J17" i="5"/>
  <c r="K17" i="5" s="1"/>
  <c r="J18" i="5"/>
  <c r="J19" i="5"/>
  <c r="K19" i="5" s="1"/>
  <c r="J20" i="5"/>
  <c r="K20" i="5" s="1"/>
  <c r="J21" i="5"/>
  <c r="K21" i="5" s="1"/>
  <c r="K18" i="5" l="1"/>
  <c r="L18" i="5" s="1"/>
  <c r="L21" i="5"/>
  <c r="L20" i="5"/>
  <c r="L19" i="5"/>
  <c r="K14" i="5"/>
  <c r="L15" i="5"/>
  <c r="L16" i="5"/>
  <c r="L17" i="5"/>
  <c r="I7" i="6"/>
  <c r="I6" i="6"/>
  <c r="I5" i="6"/>
  <c r="I4" i="6"/>
  <c r="J4" i="6" s="1"/>
  <c r="K4" i="6" s="1"/>
  <c r="I3" i="6"/>
  <c r="K164" i="6"/>
  <c r="K163" i="6"/>
  <c r="K162" i="6"/>
  <c r="I61" i="6"/>
  <c r="I60" i="6"/>
  <c r="I59" i="6"/>
  <c r="I58" i="6"/>
  <c r="J58" i="6" s="1"/>
  <c r="K58" i="6" s="1"/>
  <c r="I57" i="6"/>
  <c r="I56" i="6"/>
  <c r="I55" i="6"/>
  <c r="I54" i="6"/>
  <c r="J54" i="6" s="1"/>
  <c r="I53" i="6"/>
  <c r="I52" i="6"/>
  <c r="I51" i="6"/>
  <c r="I50" i="6"/>
  <c r="J50" i="6" s="1"/>
  <c r="K50" i="6" s="1"/>
  <c r="I49" i="6"/>
  <c r="I48" i="6"/>
  <c r="I47" i="6"/>
  <c r="I46" i="6"/>
  <c r="J46" i="6" s="1"/>
  <c r="I45" i="6"/>
  <c r="I44" i="6"/>
  <c r="I43" i="6"/>
  <c r="I42" i="6"/>
  <c r="J42" i="6" s="1"/>
  <c r="K42" i="6" s="1"/>
  <c r="I41" i="6"/>
  <c r="I39" i="6"/>
  <c r="I38" i="6"/>
  <c r="I37" i="6"/>
  <c r="J37" i="6" s="1"/>
  <c r="I36" i="6"/>
  <c r="I35" i="6"/>
  <c r="I34" i="6"/>
  <c r="I33" i="6"/>
  <c r="J33" i="6" s="1"/>
  <c r="K33" i="6" s="1"/>
  <c r="I32" i="6"/>
  <c r="I31" i="6"/>
  <c r="I30" i="6"/>
  <c r="I29" i="6"/>
  <c r="I28" i="6"/>
  <c r="I27" i="6"/>
  <c r="I26" i="6"/>
  <c r="I25" i="6"/>
  <c r="J25" i="6" s="1"/>
  <c r="K25" i="6" s="1"/>
  <c r="I24" i="6"/>
  <c r="I22" i="6"/>
  <c r="I21" i="6"/>
  <c r="I20" i="6"/>
  <c r="I19" i="6"/>
  <c r="I18" i="6"/>
  <c r="I17" i="6"/>
  <c r="I16" i="6"/>
  <c r="J16" i="6" s="1"/>
  <c r="K16" i="6" s="1"/>
  <c r="I15" i="6"/>
  <c r="I14" i="6"/>
  <c r="I13" i="6"/>
  <c r="I12" i="6"/>
  <c r="I11" i="6"/>
  <c r="I10" i="6"/>
  <c r="I9" i="6"/>
  <c r="J9" i="6" s="1"/>
  <c r="I8" i="6"/>
  <c r="J8" i="6" s="1"/>
  <c r="K8" i="6" s="1"/>
  <c r="L14" i="5" l="1"/>
  <c r="I159" i="6"/>
  <c r="K37" i="6"/>
  <c r="K46" i="6"/>
  <c r="K54" i="6"/>
  <c r="J13" i="6"/>
  <c r="K13" i="6" s="1"/>
  <c r="J21" i="6"/>
  <c r="K21" i="6" s="1"/>
  <c r="J30" i="6"/>
  <c r="K30" i="6" s="1"/>
  <c r="J38" i="6"/>
  <c r="K38" i="6" s="1"/>
  <c r="J47" i="6"/>
  <c r="K47" i="6" s="1"/>
  <c r="J55" i="6"/>
  <c r="K55" i="6" s="1"/>
  <c r="K9" i="6"/>
  <c r="J17" i="6"/>
  <c r="K17" i="6" s="1"/>
  <c r="J26" i="6"/>
  <c r="K26" i="6" s="1"/>
  <c r="J34" i="6"/>
  <c r="K34" i="6" s="1"/>
  <c r="J43" i="6"/>
  <c r="K43" i="6" s="1"/>
  <c r="J51" i="6"/>
  <c r="K51" i="6" s="1"/>
  <c r="J59" i="6"/>
  <c r="K59" i="6" s="1"/>
  <c r="J5" i="6"/>
  <c r="K5" i="6" s="1"/>
  <c r="J12" i="6"/>
  <c r="K12" i="6" s="1"/>
  <c r="J20" i="6"/>
  <c r="K20" i="6" s="1"/>
  <c r="J29" i="6"/>
  <c r="K29" i="6" s="1"/>
  <c r="J6" i="6"/>
  <c r="K6" i="6" s="1"/>
  <c r="J10" i="6"/>
  <c r="K10" i="6" s="1"/>
  <c r="J14" i="6"/>
  <c r="K14" i="6" s="1"/>
  <c r="J18" i="6"/>
  <c r="K18" i="6" s="1"/>
  <c r="J22" i="6"/>
  <c r="K22" i="6" s="1"/>
  <c r="J27" i="6"/>
  <c r="K27" i="6" s="1"/>
  <c r="J31" i="6"/>
  <c r="K31" i="6" s="1"/>
  <c r="J35" i="6"/>
  <c r="K35" i="6" s="1"/>
  <c r="J39" i="6"/>
  <c r="K39" i="6" s="1"/>
  <c r="J44" i="6"/>
  <c r="K44" i="6" s="1"/>
  <c r="J48" i="6"/>
  <c r="K48" i="6" s="1"/>
  <c r="J52" i="6"/>
  <c r="K52" i="6" s="1"/>
  <c r="J56" i="6"/>
  <c r="K56" i="6" s="1"/>
  <c r="J60" i="6"/>
  <c r="K60" i="6" s="1"/>
  <c r="J3" i="6"/>
  <c r="J7" i="6"/>
  <c r="K7" i="6" s="1"/>
  <c r="J11" i="6"/>
  <c r="K11" i="6" s="1"/>
  <c r="J15" i="6"/>
  <c r="K15" i="6" s="1"/>
  <c r="J19" i="6"/>
  <c r="K19" i="6" s="1"/>
  <c r="J24" i="6"/>
  <c r="K24" i="6" s="1"/>
  <c r="J28" i="6"/>
  <c r="K28" i="6" s="1"/>
  <c r="J32" i="6"/>
  <c r="K32" i="6" s="1"/>
  <c r="J36" i="6"/>
  <c r="K36" i="6" s="1"/>
  <c r="J41" i="6"/>
  <c r="K41" i="6" s="1"/>
  <c r="J45" i="6"/>
  <c r="K45" i="6" s="1"/>
  <c r="J49" i="6"/>
  <c r="K49" i="6" s="1"/>
  <c r="J53" i="6"/>
  <c r="K53" i="6" s="1"/>
  <c r="J57" i="6"/>
  <c r="K57" i="6" s="1"/>
  <c r="J61" i="6"/>
  <c r="K61" i="6" s="1"/>
  <c r="I160" i="6" l="1"/>
  <c r="J159" i="6"/>
  <c r="K3" i="6"/>
  <c r="K159" i="6" s="1"/>
  <c r="J13" i="5" l="1"/>
  <c r="K13" i="5" s="1"/>
  <c r="L13" i="5" s="1"/>
  <c r="J12" i="5" l="1"/>
  <c r="K12" i="5" s="1"/>
  <c r="J11" i="5"/>
  <c r="K11" i="5" s="1"/>
  <c r="L11" i="5" s="1"/>
  <c r="J10" i="5"/>
  <c r="J9" i="5"/>
  <c r="J8" i="5"/>
  <c r="J7" i="5"/>
  <c r="J6" i="5"/>
  <c r="K6" i="5" s="1"/>
  <c r="L6" i="5" s="1"/>
  <c r="J5" i="5"/>
  <c r="J4" i="5"/>
  <c r="J3" i="5"/>
  <c r="J76" i="5" l="1"/>
  <c r="J78" i="5" s="1"/>
  <c r="L12" i="5"/>
  <c r="K3" i="5"/>
  <c r="K7" i="5"/>
  <c r="K4" i="5"/>
  <c r="L4" i="5" s="1"/>
  <c r="K8" i="5"/>
  <c r="L8" i="5" s="1"/>
  <c r="K5" i="5"/>
  <c r="L5" i="5" s="1"/>
  <c r="K9" i="5"/>
  <c r="L9" i="5" s="1"/>
  <c r="K10" i="5"/>
  <c r="L10" i="5" s="1"/>
  <c r="L3" i="5" l="1"/>
  <c r="K76" i="5"/>
  <c r="L7" i="5"/>
  <c r="L76" i="5" l="1"/>
  <c r="I46" i="3"/>
  <c r="J46" i="3" s="1"/>
  <c r="K46" i="3" s="1"/>
  <c r="I47" i="3"/>
  <c r="J47" i="3" s="1"/>
  <c r="K47" i="3" s="1"/>
  <c r="I48" i="3"/>
  <c r="J48" i="3" s="1"/>
  <c r="K48" i="3" s="1"/>
  <c r="I49" i="3"/>
  <c r="J49" i="3" s="1"/>
  <c r="K49" i="3" s="1"/>
  <c r="I50" i="3"/>
  <c r="J50" i="3" s="1"/>
  <c r="K50" i="3" s="1"/>
  <c r="I51" i="3"/>
  <c r="J51" i="3" s="1"/>
  <c r="K51" i="3" s="1"/>
  <c r="I52" i="3"/>
  <c r="J52" i="3" s="1"/>
  <c r="K52" i="3" s="1"/>
  <c r="I53" i="3"/>
  <c r="J53" i="3" s="1"/>
  <c r="K53" i="3" s="1"/>
  <c r="I54" i="3"/>
  <c r="J54" i="3" s="1"/>
  <c r="K54" i="3" s="1"/>
  <c r="I55" i="3"/>
  <c r="J55" i="3" s="1"/>
  <c r="K55" i="3" s="1"/>
  <c r="I56" i="3"/>
  <c r="J56" i="3" s="1"/>
  <c r="K56" i="3" s="1"/>
  <c r="I57" i="3"/>
  <c r="J57" i="3" s="1"/>
  <c r="K57" i="3" s="1"/>
  <c r="I58" i="3"/>
  <c r="J58" i="3" s="1"/>
  <c r="K58" i="3" s="1"/>
  <c r="I59" i="3"/>
  <c r="J59" i="3" s="1"/>
  <c r="K59" i="3" s="1"/>
  <c r="I60" i="3"/>
  <c r="J60" i="3" s="1"/>
  <c r="K60" i="3" s="1"/>
  <c r="I61" i="3"/>
  <c r="J61" i="3" s="1"/>
  <c r="K61" i="3" s="1"/>
  <c r="K67" i="3"/>
  <c r="K66" i="3"/>
  <c r="K65" i="3"/>
  <c r="N76" i="5" l="1"/>
  <c r="I36" i="3"/>
  <c r="I37" i="3"/>
  <c r="J37" i="3" s="1"/>
  <c r="I38" i="3"/>
  <c r="J38" i="3" s="1"/>
  <c r="K38" i="3" s="1"/>
  <c r="I39" i="3"/>
  <c r="J39" i="3" s="1"/>
  <c r="K39" i="3" s="1"/>
  <c r="I40" i="3"/>
  <c r="J40" i="3" s="1"/>
  <c r="K40" i="3" s="1"/>
  <c r="I41" i="3"/>
  <c r="J41" i="3" s="1"/>
  <c r="K41" i="3" s="1"/>
  <c r="I42" i="3"/>
  <c r="J42" i="3" s="1"/>
  <c r="K42" i="3" s="1"/>
  <c r="I43" i="3"/>
  <c r="J43" i="3" s="1"/>
  <c r="K43" i="3" s="1"/>
  <c r="I44" i="3"/>
  <c r="J44" i="3" s="1"/>
  <c r="K44" i="3" s="1"/>
  <c r="I45" i="3"/>
  <c r="J45" i="3" s="1"/>
  <c r="K45" i="3" s="1"/>
  <c r="I30" i="3"/>
  <c r="J30" i="3" s="1"/>
  <c r="K30" i="3" s="1"/>
  <c r="I31" i="3"/>
  <c r="J31" i="3" s="1"/>
  <c r="K31" i="3" s="1"/>
  <c r="I32" i="3"/>
  <c r="I33" i="3"/>
  <c r="J33" i="3" s="1"/>
  <c r="K33" i="3" s="1"/>
  <c r="I34" i="3"/>
  <c r="J34" i="3" s="1"/>
  <c r="K34" i="3" s="1"/>
  <c r="I35" i="3"/>
  <c r="J35" i="3" s="1"/>
  <c r="K35" i="3" s="1"/>
  <c r="K37" i="3" l="1"/>
  <c r="J36" i="3"/>
  <c r="K36" i="3" s="1"/>
  <c r="J32" i="3"/>
  <c r="K32" i="3" s="1"/>
  <c r="H13" i="3"/>
  <c r="H62" i="3" s="1"/>
  <c r="I26" i="3"/>
  <c r="J26" i="3" s="1"/>
  <c r="I25" i="3"/>
  <c r="I24" i="3"/>
  <c r="J24" i="3" s="1"/>
  <c r="K24" i="3" s="1"/>
  <c r="I27" i="3"/>
  <c r="J27" i="3" s="1"/>
  <c r="K27" i="3" s="1"/>
  <c r="I28" i="3"/>
  <c r="J28" i="3" s="1"/>
  <c r="K28" i="3" s="1"/>
  <c r="I29" i="3"/>
  <c r="J29" i="3" s="1"/>
  <c r="K29" i="3" s="1"/>
  <c r="I23" i="3"/>
  <c r="J23" i="3" s="1"/>
  <c r="K23" i="3" s="1"/>
  <c r="K26" i="3" l="1"/>
  <c r="J25" i="3"/>
  <c r="K25" i="3" s="1"/>
  <c r="I22" i="3"/>
  <c r="J22" i="3" s="1"/>
  <c r="K22" i="3" s="1"/>
  <c r="I21" i="3"/>
  <c r="J21" i="3" s="1"/>
  <c r="I20" i="3"/>
  <c r="I19" i="3"/>
  <c r="I18" i="3"/>
  <c r="I17" i="3"/>
  <c r="J17" i="3" s="1"/>
  <c r="I16" i="3"/>
  <c r="J16" i="3" s="1"/>
  <c r="I15" i="3"/>
  <c r="J15" i="3" s="1"/>
  <c r="I14" i="3"/>
  <c r="I13" i="3"/>
  <c r="J13" i="3" s="1"/>
  <c r="K13" i="3" s="1"/>
  <c r="I11" i="3"/>
  <c r="J11" i="3" s="1"/>
  <c r="K11" i="3" s="1"/>
  <c r="I10" i="3"/>
  <c r="I9" i="3"/>
  <c r="J9" i="3" s="1"/>
  <c r="I8" i="3"/>
  <c r="J8" i="3" s="1"/>
  <c r="K8" i="3" s="1"/>
  <c r="I7" i="3"/>
  <c r="J7" i="3" s="1"/>
  <c r="K7" i="3" s="1"/>
  <c r="I6" i="3"/>
  <c r="I5" i="3"/>
  <c r="J5" i="3" s="1"/>
  <c r="I4" i="3"/>
  <c r="I3" i="3"/>
  <c r="J4" i="3" l="1"/>
  <c r="I62" i="3"/>
  <c r="J3" i="3"/>
  <c r="K21" i="3"/>
  <c r="J20" i="3"/>
  <c r="K20" i="3" s="1"/>
  <c r="J19" i="3"/>
  <c r="K19" i="3" s="1"/>
  <c r="J18" i="3"/>
  <c r="K18" i="3" s="1"/>
  <c r="K17" i="3"/>
  <c r="K16" i="3"/>
  <c r="K15" i="3"/>
  <c r="J14" i="3"/>
  <c r="K14" i="3" s="1"/>
  <c r="J10" i="3"/>
  <c r="K10" i="3" s="1"/>
  <c r="K9" i="3"/>
  <c r="K5" i="3"/>
  <c r="J6" i="3"/>
  <c r="I63" i="3" l="1"/>
  <c r="I173" i="15"/>
  <c r="K4" i="3"/>
  <c r="J62" i="3"/>
  <c r="K3" i="3"/>
  <c r="K6" i="3"/>
  <c r="K62" i="3" l="1"/>
</calcChain>
</file>

<file path=xl/sharedStrings.xml><?xml version="1.0" encoding="utf-8"?>
<sst xmlns="http://schemas.openxmlformats.org/spreadsheetml/2006/main" count="1757" uniqueCount="212">
  <si>
    <t>التاريخ</t>
  </si>
  <si>
    <t>رقم الفاتورة</t>
  </si>
  <si>
    <t>المورد</t>
  </si>
  <si>
    <t>البيان</t>
  </si>
  <si>
    <t>الوحدة</t>
  </si>
  <si>
    <t>سعر الوحدة</t>
  </si>
  <si>
    <t>الكمية وارد</t>
  </si>
  <si>
    <t>اجمالي قبل الضريبة</t>
  </si>
  <si>
    <t>الضريبة</t>
  </si>
  <si>
    <t>اجمالي بعد الضريبة</t>
  </si>
  <si>
    <t>مسارات النهضة</t>
  </si>
  <si>
    <t>شاورما دجاج لارا  2.5ك</t>
  </si>
  <si>
    <t>كرتون</t>
  </si>
  <si>
    <t>#0001-7985</t>
  </si>
  <si>
    <t>بن بادي</t>
  </si>
  <si>
    <t>صدور دجاج برازيلي مجمد</t>
  </si>
  <si>
    <t>شاورما نور روسي بالك 15ك</t>
  </si>
  <si>
    <t>بوبي فيل هندي الكامل 23 وزن 18ك</t>
  </si>
  <si>
    <t>فيل ليج هندي الكامل 18ك</t>
  </si>
  <si>
    <t>فيليه عجل هندي الكامل 18ك</t>
  </si>
  <si>
    <t>تندر ليون برازيلي منيرفا</t>
  </si>
  <si>
    <t>كجم</t>
  </si>
  <si>
    <t>مطاعم طارق منشو</t>
  </si>
  <si>
    <t>شركة سامح العربية للوجبات</t>
  </si>
  <si>
    <t>حالة التحصيل</t>
  </si>
  <si>
    <t>تم</t>
  </si>
  <si>
    <t>كاش</t>
  </si>
  <si>
    <t>شركة المرجان المتقدمة للتجارة</t>
  </si>
  <si>
    <t>اسم العميل</t>
  </si>
  <si>
    <t>شركة الأغذية المتميزة</t>
  </si>
  <si>
    <t>شركة الامل التجارية</t>
  </si>
  <si>
    <t>شركة منار النجوم المحدودة</t>
  </si>
  <si>
    <t>شركة الزاهر الوطنية التجارية</t>
  </si>
  <si>
    <t>مؤسسة خالد سعود سعد السفري</t>
  </si>
  <si>
    <t>شركة دجاج اسيا  لخدمات الاعاشة</t>
  </si>
  <si>
    <t>مبيعات شهر أكتوبر</t>
  </si>
  <si>
    <t>الكمية</t>
  </si>
  <si>
    <t>المبلغ قبل الضريبة</t>
  </si>
  <si>
    <t>المبلغ بعد الضريبة</t>
  </si>
  <si>
    <t>بيان الصنف</t>
  </si>
  <si>
    <t>أنور</t>
  </si>
  <si>
    <t>مؤسسة كنز المحيط للتجارة</t>
  </si>
  <si>
    <t>مؤسسة امدادت الطعام التجارية</t>
  </si>
  <si>
    <t>صدور دجاج برازيلي مجمد 2.5ك</t>
  </si>
  <si>
    <t>مطعم انفاس اكابر لتقديم الوجبات</t>
  </si>
  <si>
    <t>شركة الطعام الموحد للمواد الغذائية</t>
  </si>
  <si>
    <t>توب سايد برازيلي مينرفا</t>
  </si>
  <si>
    <t>مطعم البيت الجاوي</t>
  </si>
  <si>
    <t>كاش / تحويل بنكي</t>
  </si>
  <si>
    <t>شركة زاد نعمة للتجارة</t>
  </si>
  <si>
    <t>صدور برازيلي تالف</t>
  </si>
  <si>
    <t>شاورما برازيلي تالف</t>
  </si>
  <si>
    <t>سلفة علي محمود وخصم من الراتب</t>
  </si>
  <si>
    <t>يتم عمل سند تسوية من المخزون بضاعة تالف</t>
  </si>
  <si>
    <t>كشف البنك</t>
  </si>
  <si>
    <t>مطابق</t>
  </si>
  <si>
    <t>today</t>
  </si>
  <si>
    <t>توب سايد برازيلي منيرفا</t>
  </si>
  <si>
    <t>العدد بالكرتون</t>
  </si>
  <si>
    <t>العدد بالكرتون للحم البرازيلي</t>
  </si>
  <si>
    <t>خصم</t>
  </si>
  <si>
    <t>يتم عمل سند تسوية من المخزون خروج بضاعة بدون فاتورة</t>
  </si>
  <si>
    <t>المبلغ المسدد</t>
  </si>
  <si>
    <t>باقي</t>
  </si>
  <si>
    <t>لب مانجو بريمير هندي 16ك</t>
  </si>
  <si>
    <t>عميل كاش بدون رقم ضريبي</t>
  </si>
  <si>
    <t>بدون</t>
  </si>
  <si>
    <t>شركة محمد عمر بالخير للتجارة</t>
  </si>
  <si>
    <t>مرتجع</t>
  </si>
  <si>
    <t>مؤسسة غدير الشرق التجارية</t>
  </si>
  <si>
    <t>مبيعات شهر نوفمبر</t>
  </si>
  <si>
    <t>تم عمل مرتجع رقم 1043</t>
  </si>
  <si>
    <t>مؤسسة جوهرة الحياة التجارية</t>
  </si>
  <si>
    <t>فور كوارتر هندي عنبر</t>
  </si>
  <si>
    <t>ثك فلانك هندي عنبر</t>
  </si>
  <si>
    <t>مانجو بريمير</t>
  </si>
  <si>
    <t>شركة الامجاد الدولي المحدودة</t>
  </si>
  <si>
    <t>شركة بن حوفان للتجارة</t>
  </si>
  <si>
    <t>مرتجع من فاتورة رقم 1049</t>
  </si>
  <si>
    <t>شركة ورد العربيه التجارية</t>
  </si>
  <si>
    <t>شركة مسارات النهضة للتجارة</t>
  </si>
  <si>
    <t>شركة الامل للتجارة</t>
  </si>
  <si>
    <t>شركة فكرة شرق الوسط التجارية</t>
  </si>
  <si>
    <t>شركة رضوي العربية لانتاج الدواجن</t>
  </si>
  <si>
    <t>شركة اورفكس</t>
  </si>
  <si>
    <t>شركة ثلاجة عالم القمة المحدودة</t>
  </si>
  <si>
    <t>مؤسسة طيبات الخليج</t>
  </si>
  <si>
    <t>شركة يوسف عبدالرحمن الحفيتي</t>
  </si>
  <si>
    <t>شركة حلول ألفا للتجارة والمقاولات</t>
  </si>
  <si>
    <t>فاتورة مبسطة</t>
  </si>
  <si>
    <t>مدا الغذاء التجارية</t>
  </si>
  <si>
    <t>390-1-2025</t>
  </si>
  <si>
    <t>ثك فلانك هندي ثمره *20ك</t>
  </si>
  <si>
    <t>رامب ستيك هندي ثمره *20ك</t>
  </si>
  <si>
    <t>توب سايد هندي ثمره *20ك</t>
  </si>
  <si>
    <t>توب سايد هندي ثمره</t>
  </si>
  <si>
    <t>شركة مزارع طيبة الغذائية</t>
  </si>
  <si>
    <t>سلفر سايد هندي ثمره</t>
  </si>
  <si>
    <t>رامب ستيك هندي ثمره</t>
  </si>
  <si>
    <t>شركة مجمدات الريف التجارية</t>
  </si>
  <si>
    <t>مرتجع فا 1066</t>
  </si>
  <si>
    <t>مرتجع من فاتورة رقم 1082</t>
  </si>
  <si>
    <t>الشركة الاهرام المتحدة للتجارة</t>
  </si>
  <si>
    <t>تم علي دفعات</t>
  </si>
  <si>
    <t>تم عمل مرتجع</t>
  </si>
  <si>
    <t>شركة الأطعمة الشرقية الغربية للخدمات الغذائية</t>
  </si>
  <si>
    <t>ثك فلانك هندي ثمره</t>
  </si>
  <si>
    <t>شركة حلول سلك</t>
  </si>
  <si>
    <t>دجاج كواليكو 10*900جرام</t>
  </si>
  <si>
    <t>دجاج كواليكو 10*1000جرام</t>
  </si>
  <si>
    <t>شركة نخبة الأفضل المتحدة التجارية</t>
  </si>
  <si>
    <t>بطاطس مايسترو 9*9</t>
  </si>
  <si>
    <t>مرتجع طيبات الخليج</t>
  </si>
  <si>
    <t>مؤسسة خالد علي بن سعيد العرفجي</t>
  </si>
  <si>
    <t>م</t>
  </si>
  <si>
    <t>شركة ثلاجة هاجر التجارية</t>
  </si>
  <si>
    <t>بوبي فيل هندي منت</t>
  </si>
  <si>
    <t>مؤسسة امجد محمد قاسم الاهدل التجارية</t>
  </si>
  <si>
    <t>مؤسسة وحدة الغذاء</t>
  </si>
  <si>
    <t>المشتريات شركة كادي</t>
  </si>
  <si>
    <t>بوبي فيل منت هندي</t>
  </si>
  <si>
    <t>بطاطس مايسترو</t>
  </si>
  <si>
    <t>مؤسسة علي بن رافع بن علي الشمراني</t>
  </si>
  <si>
    <t>مؤسسة مطعم نور الحلبي لتقديم الوجبات</t>
  </si>
  <si>
    <t>تندر لاين هندي ALM</t>
  </si>
  <si>
    <t>شركة صالح منصر العمودي</t>
  </si>
  <si>
    <t>فيل ليج هندي العالي 18ك</t>
  </si>
  <si>
    <t>شركة الامل التجارية الشهري</t>
  </si>
  <si>
    <t>شركة الشيف الاسيوي لتقديم الوجبات</t>
  </si>
  <si>
    <t>المندوب</t>
  </si>
  <si>
    <t>محمود</t>
  </si>
  <si>
    <t>عمرو</t>
  </si>
  <si>
    <t>شركة قيمة العالمية للتجارة شركة شخص واحد</t>
  </si>
  <si>
    <t>شركة الزاهر الوطنية التجارية شركة شخص واحد</t>
  </si>
  <si>
    <t>مبيعات شهر ديسمبر</t>
  </si>
  <si>
    <t>شركة الثلاجة الذهبية التجارية</t>
  </si>
  <si>
    <t>مرتجع كامل فاتورة رقم 1148</t>
  </si>
  <si>
    <t>فاتورة خطأ في الكميات</t>
  </si>
  <si>
    <t>سلفر سايد ثمره</t>
  </si>
  <si>
    <t>فيل ليج هندي العالي</t>
  </si>
  <si>
    <t>فيل ليج هندي الكامل</t>
  </si>
  <si>
    <t>عجل مقطع افيكو نيوزلاندي 6 قطع</t>
  </si>
  <si>
    <t>4فواتير</t>
  </si>
  <si>
    <t>مؤسسة فخر الاطعمه للتجارة</t>
  </si>
  <si>
    <t>شركة جسور النرجس</t>
  </si>
  <si>
    <t>فيليه عجل هندي نواكو 18ك</t>
  </si>
  <si>
    <t>شركة المنارة الشاهقة للتجارة</t>
  </si>
  <si>
    <t>شركة اللحم الذهبي العالمي</t>
  </si>
  <si>
    <t>صدور دجاج لارا</t>
  </si>
  <si>
    <t>ملحمة ماجد احمد حامد طوري للحوم</t>
  </si>
  <si>
    <t>مؤسسة علي بن رافع الشمراني</t>
  </si>
  <si>
    <t>شركة يوسف عبدالرحمن الحفيتي للتجارة</t>
  </si>
  <si>
    <t>بوبي فيل هندي نواكو</t>
  </si>
  <si>
    <t>فيل ليجز هندي نواكو</t>
  </si>
  <si>
    <t>شركة التوريد المميز المحدودة</t>
  </si>
  <si>
    <t>تندرليون هندي الكامل 18ك</t>
  </si>
  <si>
    <t>توب سايد هندي الكامل</t>
  </si>
  <si>
    <t xml:space="preserve">تندر ليون هندي ALM </t>
  </si>
  <si>
    <t>مرتجع من فا 1184</t>
  </si>
  <si>
    <t>شركة مجمدات الريف</t>
  </si>
  <si>
    <t>شركة الرضوان التجارية</t>
  </si>
  <si>
    <t>شركة بداية ونهاية</t>
  </si>
  <si>
    <t>تندر ليون هندي الكامل</t>
  </si>
  <si>
    <t>قطعيات لحم هندي الكامل</t>
  </si>
  <si>
    <t>فور كوارتر هندي الكامل</t>
  </si>
  <si>
    <t>ثك فلانك هندي الكامل</t>
  </si>
  <si>
    <t>سلفر سايد هندي الكامل</t>
  </si>
  <si>
    <t>رامب ستيك هندي الكامل</t>
  </si>
  <si>
    <t>مدة بقاء البضاعة في المخزن</t>
  </si>
  <si>
    <t>لحم هندي بوبي فيل نواكو</t>
  </si>
  <si>
    <t>لحم هندي رول عجل نواكو</t>
  </si>
  <si>
    <t>لحم هندي فيليه عجل نواكو</t>
  </si>
  <si>
    <t>مؤسسة نور الباسقات</t>
  </si>
  <si>
    <t>فور كوارتر برازيلي</t>
  </si>
  <si>
    <t>مؤسسة إسكندر كباب لتقديم الوجبات</t>
  </si>
  <si>
    <t>مرتجع فا 1186</t>
  </si>
  <si>
    <t>مؤسسة محمد عبدالعزيز احمد الزيلعي</t>
  </si>
  <si>
    <t>شركة بوابة بلقيس</t>
  </si>
  <si>
    <t>لحم تندر ليون المارية</t>
  </si>
  <si>
    <t>سلفر سايد هندي ثمره *20ك</t>
  </si>
  <si>
    <t>مؤسسة خالد سعود السفري</t>
  </si>
  <si>
    <t>عجل مقطع نيوزلندي افيكو</t>
  </si>
  <si>
    <t>تندر ليون 99 18ك</t>
  </si>
  <si>
    <t>كرتون جوافة مجمدة</t>
  </si>
  <si>
    <t>شركة الطعام الموحد</t>
  </si>
  <si>
    <t>جوافة هندي فارم فريش</t>
  </si>
  <si>
    <t>تموينات خيرات رهاط</t>
  </si>
  <si>
    <t>فيل ليج هندي نواكو</t>
  </si>
  <si>
    <t>تندر ليون فيليه نواكو</t>
  </si>
  <si>
    <t>تندر ليون المارية</t>
  </si>
  <si>
    <t>ثك فلانك عنبر</t>
  </si>
  <si>
    <t>تندر ليون 99 فارم منت 18ك</t>
  </si>
  <si>
    <t>شركة الأغذية المتميزة التجارية</t>
  </si>
  <si>
    <t>شركة بيور فريز التجارية</t>
  </si>
  <si>
    <t>شركة سراج الأطعمة للتجارة والاستيراد</t>
  </si>
  <si>
    <t>سلفر سايد الكامل</t>
  </si>
  <si>
    <t>شركة المحصول الفاخر للتجارة</t>
  </si>
  <si>
    <t>شركة يوجن انترناشونال</t>
  </si>
  <si>
    <t>الدفعة عبارة عن مقدم 35000 والمتبقي من فاتورة المشتريات المستحقة للعميل</t>
  </si>
  <si>
    <t>فيل ليج منت</t>
  </si>
  <si>
    <t>شركة حدائق الاندلس</t>
  </si>
  <si>
    <t>فور كوارتر سلايس الكامل</t>
  </si>
  <si>
    <t>مرتجع باقي فاتورة 1218</t>
  </si>
  <si>
    <t>باقي الفاتورة مرتجع رقم 1248</t>
  </si>
  <si>
    <t>تندر ليون فارم ميت</t>
  </si>
  <si>
    <t>مشتريات سريعة</t>
  </si>
  <si>
    <t>سريع</t>
  </si>
  <si>
    <t>شركة MHP</t>
  </si>
  <si>
    <t>شركة ورد العربية التجارية</t>
  </si>
  <si>
    <t>شركة غذاء اليوم للنقل والتخزين</t>
  </si>
  <si>
    <t>متوسط التكلفة</t>
  </si>
  <si>
    <t>تندرليون بقر هندي الكامل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</si>
</sst>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9" x14ac:knownFonts="1">
    <font>
      <sz val="11"/>
      <name val="Calibri"/>
      <scheme val="minor"/>
    </font>
    <font>
      <sz val="11"/>
      <name val="Calibri"/>
      <family val="2"/>
    </font>
    <font>
      <u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6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45">
    <xf numFmtId="0" fontId="0" fillId="0" borderId="0" xfId="0"/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4" fontId="1" fillId="0" borderId="3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16" fontId="1" fillId="0" borderId="4" xfId="0" applyNumberFormat="1" applyFont="1" applyBorder="1" applyAlignment="1">
      <alignment horizontal="center"/>
    </xf>
    <xf numFmtId="4" fontId="1" fillId="0" borderId="5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3" borderId="0" xfId="0" applyFill="1"/>
    <xf numFmtId="0" fontId="3" fillId="0" borderId="6" xfId="0" applyFont="1" applyBorder="1" applyAlignment="1">
      <alignment horizontal="center"/>
    </xf>
    <xf numFmtId="0" fontId="0" fillId="2" borderId="0" xfId="0" applyFill="1"/>
    <xf numFmtId="0" fontId="0" fillId="6" borderId="0" xfId="0" applyFill="1"/>
    <xf numFmtId="16" fontId="0" fillId="3" borderId="2" xfId="0" applyNumberFormat="1" applyFill="1" applyBorder="1"/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4" fontId="0" fillId="3" borderId="2" xfId="0" applyNumberForma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4" fontId="1" fillId="3" borderId="5" xfId="0" applyNumberFormat="1" applyFont="1" applyFill="1" applyBorder="1" applyAlignment="1">
      <alignment horizontal="center"/>
    </xf>
    <xf numFmtId="0" fontId="3" fillId="6" borderId="0" xfId="0" applyFont="1" applyFill="1"/>
    <xf numFmtId="0" fontId="0" fillId="7" borderId="0" xfId="0" applyFill="1"/>
    <xf numFmtId="4" fontId="1" fillId="7" borderId="3" xfId="0" applyNumberFormat="1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3" xfId="0" applyFont="1" applyBorder="1"/>
    <xf numFmtId="4" fontId="1" fillId="0" borderId="2" xfId="0" applyNumberFormat="1" applyFont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4" fontId="0" fillId="0" borderId="0" xfId="0" applyNumberFormat="1"/>
    <xf numFmtId="164" fontId="1" fillId="0" borderId="1" xfId="0" applyNumberFormat="1" applyFon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0" fillId="9" borderId="0" xfId="0" applyFill="1"/>
    <xf numFmtId="1" fontId="0" fillId="3" borderId="2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3" fillId="10" borderId="6" xfId="0" applyFont="1" applyFill="1" applyBorder="1" applyAlignment="1">
      <alignment horizontal="center"/>
    </xf>
    <xf numFmtId="16" fontId="1" fillId="10" borderId="1" xfId="0" applyNumberFormat="1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1" fontId="1" fillId="10" borderId="1" xfId="0" applyNumberFormat="1" applyFont="1" applyFill="1" applyBorder="1" applyAlignment="1">
      <alignment horizontal="center"/>
    </xf>
    <xf numFmtId="4" fontId="1" fillId="10" borderId="5" xfId="0" applyNumberFormat="1" applyFont="1" applyFill="1" applyBorder="1" applyAlignment="1">
      <alignment horizontal="center"/>
    </xf>
    <xf numFmtId="0" fontId="0" fillId="10" borderId="0" xfId="0" applyFill="1"/>
    <xf numFmtId="0" fontId="0" fillId="10" borderId="2" xfId="0" applyFill="1" applyBorder="1" applyAlignment="1">
      <alignment horizontal="center"/>
    </xf>
    <xf numFmtId="43" fontId="4" fillId="2" borderId="5" xfId="1" applyFont="1" applyFill="1" applyBorder="1" applyAlignment="1">
      <alignment horizontal="center"/>
    </xf>
    <xf numFmtId="4" fontId="1" fillId="5" borderId="3" xfId="0" applyNumberFormat="1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0" xfId="0" applyFont="1" applyFill="1"/>
    <xf numFmtId="0" fontId="0" fillId="5" borderId="2" xfId="0" applyFill="1" applyBorder="1" applyAlignment="1">
      <alignment horizontal="center"/>
    </xf>
    <xf numFmtId="4" fontId="1" fillId="5" borderId="5" xfId="0" applyNumberFormat="1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/>
    </xf>
    <xf numFmtId="4" fontId="1" fillId="12" borderId="5" xfId="0" applyNumberFormat="1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0" fillId="4" borderId="0" xfId="0" applyFill="1"/>
    <xf numFmtId="0" fontId="3" fillId="0" borderId="6" xfId="0" applyFont="1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3" fillId="13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" fontId="1" fillId="8" borderId="3" xfId="0" applyNumberFormat="1" applyFont="1" applyFill="1" applyBorder="1" applyAlignment="1">
      <alignment horizontal="center"/>
    </xf>
    <xf numFmtId="4" fontId="1" fillId="8" borderId="5" xfId="0" applyNumberFormat="1" applyFont="1" applyFill="1" applyBorder="1" applyAlignment="1">
      <alignment horizontal="center"/>
    </xf>
    <xf numFmtId="0" fontId="0" fillId="8" borderId="0" xfId="0" applyFill="1"/>
    <xf numFmtId="4" fontId="1" fillId="14" borderId="3" xfId="0" applyNumberFormat="1" applyFont="1" applyFill="1" applyBorder="1" applyAlignment="1">
      <alignment horizontal="center"/>
    </xf>
    <xf numFmtId="4" fontId="1" fillId="14" borderId="5" xfId="0" applyNumberFormat="1" applyFont="1" applyFill="1" applyBorder="1" applyAlignment="1">
      <alignment horizontal="center"/>
    </xf>
    <xf numFmtId="4" fontId="1" fillId="3" borderId="3" xfId="0" applyNumberFormat="1" applyFont="1" applyFill="1" applyBorder="1" applyAlignment="1">
      <alignment horizontal="center"/>
    </xf>
    <xf numFmtId="4" fontId="1" fillId="15" borderId="3" xfId="0" applyNumberFormat="1" applyFont="1" applyFill="1" applyBorder="1" applyAlignment="1">
      <alignment horizontal="center"/>
    </xf>
    <xf numFmtId="0" fontId="3" fillId="15" borderId="6" xfId="0" applyFont="1" applyFill="1" applyBorder="1" applyAlignment="1">
      <alignment horizontal="center"/>
    </xf>
    <xf numFmtId="4" fontId="1" fillId="15" borderId="5" xfId="0" applyNumberFormat="1" applyFont="1" applyFill="1" applyBorder="1" applyAlignment="1">
      <alignment horizontal="center"/>
    </xf>
    <xf numFmtId="0" fontId="3" fillId="15" borderId="0" xfId="0" applyFont="1" applyFill="1"/>
    <xf numFmtId="16" fontId="1" fillId="5" borderId="1" xfId="0" applyNumberFormat="1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1" fontId="1" fillId="5" borderId="1" xfId="0" applyNumberFormat="1" applyFont="1" applyFill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0" fillId="5" borderId="0" xfId="0" applyFill="1"/>
    <xf numFmtId="4" fontId="1" fillId="11" borderId="5" xfId="0" applyNumberFormat="1" applyFont="1" applyFill="1" applyBorder="1" applyAlignment="1">
      <alignment horizontal="center"/>
    </xf>
    <xf numFmtId="0" fontId="0" fillId="11" borderId="0" xfId="0" applyFill="1"/>
    <xf numFmtId="0" fontId="3" fillId="3" borderId="0" xfId="0" applyFont="1" applyFill="1"/>
    <xf numFmtId="4" fontId="1" fillId="2" borderId="5" xfId="0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4" fontId="1" fillId="18" borderId="5" xfId="0" applyNumberFormat="1" applyFont="1" applyFill="1" applyBorder="1" applyAlignment="1">
      <alignment horizontal="center"/>
    </xf>
    <xf numFmtId="0" fontId="3" fillId="18" borderId="6" xfId="0" applyFont="1" applyFill="1" applyBorder="1" applyAlignment="1">
      <alignment horizontal="center"/>
    </xf>
    <xf numFmtId="0" fontId="3" fillId="18" borderId="0" xfId="0" applyFont="1" applyFill="1"/>
    <xf numFmtId="4" fontId="1" fillId="4" borderId="5" xfId="0" applyNumberFormat="1" applyFont="1" applyFill="1" applyBorder="1" applyAlignment="1">
      <alignment horizontal="center"/>
    </xf>
    <xf numFmtId="0" fontId="3" fillId="4" borderId="0" xfId="0" applyFont="1" applyFill="1"/>
    <xf numFmtId="0" fontId="3" fillId="11" borderId="6" xfId="0" applyFont="1" applyFill="1" applyBorder="1" applyAlignment="1">
      <alignment horizontal="center"/>
    </xf>
    <xf numFmtId="4" fontId="1" fillId="6" borderId="5" xfId="0" applyNumberFormat="1" applyFont="1" applyFill="1" applyBorder="1" applyAlignment="1">
      <alignment horizontal="center"/>
    </xf>
    <xf numFmtId="0" fontId="3" fillId="2" borderId="0" xfId="0" applyFont="1" applyFill="1"/>
    <xf numFmtId="4" fontId="1" fillId="19" borderId="5" xfId="0" applyNumberFormat="1" applyFont="1" applyFill="1" applyBorder="1" applyAlignment="1">
      <alignment horizontal="center"/>
    </xf>
    <xf numFmtId="0" fontId="3" fillId="19" borderId="6" xfId="0" applyFont="1" applyFill="1" applyBorder="1" applyAlignment="1">
      <alignment horizontal="center"/>
    </xf>
    <xf numFmtId="0" fontId="0" fillId="19" borderId="0" xfId="0" applyFill="1"/>
    <xf numFmtId="4" fontId="1" fillId="2" borderId="2" xfId="0" applyNumberFormat="1" applyFont="1" applyFill="1" applyBorder="1" applyAlignment="1">
      <alignment horizontal="center"/>
    </xf>
    <xf numFmtId="16" fontId="1" fillId="3" borderId="1" xfId="0" applyNumberFormat="1" applyFont="1" applyFill="1" applyBorder="1" applyAlignment="1">
      <alignment horizontal="center"/>
    </xf>
    <xf numFmtId="0" fontId="0" fillId="18" borderId="0" xfId="0" applyFill="1"/>
    <xf numFmtId="0" fontId="3" fillId="20" borderId="6" xfId="0" applyFont="1" applyFill="1" applyBorder="1" applyAlignment="1">
      <alignment horizontal="center"/>
    </xf>
    <xf numFmtId="0" fontId="0" fillId="20" borderId="0" xfId="0" applyFill="1"/>
    <xf numFmtId="4" fontId="1" fillId="20" borderId="5" xfId="0" applyNumberFormat="1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4" fontId="1" fillId="13" borderId="5" xfId="0" applyNumberFormat="1" applyFont="1" applyFill="1" applyBorder="1" applyAlignment="1">
      <alignment horizontal="center"/>
    </xf>
    <xf numFmtId="4" fontId="1" fillId="20" borderId="3" xfId="0" applyNumberFormat="1" applyFont="1" applyFill="1" applyBorder="1" applyAlignment="1">
      <alignment horizontal="center"/>
    </xf>
    <xf numFmtId="0" fontId="3" fillId="20" borderId="0" xfId="0" applyFont="1" applyFill="1"/>
    <xf numFmtId="0" fontId="3" fillId="21" borderId="6" xfId="0" applyFont="1" applyFill="1" applyBorder="1" applyAlignment="1">
      <alignment horizontal="center"/>
    </xf>
    <xf numFmtId="4" fontId="1" fillId="10" borderId="3" xfId="0" applyNumberFormat="1" applyFont="1" applyFill="1" applyBorder="1" applyAlignment="1">
      <alignment horizontal="center"/>
    </xf>
    <xf numFmtId="0" fontId="3" fillId="3" borderId="6" xfId="0" applyFont="1" applyFill="1" applyBorder="1" applyAlignment="1">
      <alignment horizontal="right"/>
    </xf>
    <xf numFmtId="0" fontId="3" fillId="21" borderId="0" xfId="0" applyFont="1" applyFill="1"/>
    <xf numFmtId="0" fontId="0" fillId="0" borderId="8" xfId="0" applyBorder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7" fillId="0" borderId="2" xfId="0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0" fontId="3" fillId="16" borderId="0" xfId="0" applyFont="1" applyFill="1"/>
    <xf numFmtId="0" fontId="0" fillId="16" borderId="0" xfId="0" applyFill="1"/>
    <xf numFmtId="0" fontId="1" fillId="2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4" fontId="1" fillId="6" borderId="3" xfId="0" applyNumberFormat="1" applyFont="1" applyFill="1" applyBorder="1" applyAlignment="1">
      <alignment horizontal="center"/>
    </xf>
    <xf numFmtId="4" fontId="1" fillId="21" borderId="3" xfId="0" applyNumberFormat="1" applyFont="1" applyFill="1" applyBorder="1" applyAlignment="1">
      <alignment horizontal="center"/>
    </xf>
    <xf numFmtId="0" fontId="1" fillId="0" borderId="4" xfId="0" quotePrefix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3" fillId="17" borderId="0" xfId="0" applyFont="1" applyFill="1"/>
    <xf numFmtId="0" fontId="3" fillId="17" borderId="6" xfId="0" applyFont="1" applyFill="1" applyBorder="1" applyAlignment="1">
      <alignment horizontal="center"/>
    </xf>
    <xf numFmtId="4" fontId="1" fillId="17" borderId="3" xfId="0" applyNumberFormat="1" applyFont="1" applyFill="1" applyBorder="1" applyAlignment="1">
      <alignment horizontal="center"/>
    </xf>
    <xf numFmtId="0" fontId="1" fillId="2" borderId="3" xfId="0" applyFont="1" applyFill="1" applyBorder="1"/>
    <xf numFmtId="0" fontId="1" fillId="3" borderId="5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10C2B-A689-4A71-8B54-75EE62C453E1}">
  <dimension ref="A1:P101"/>
  <sheetViews>
    <sheetView rightToLeft="1" workbookViewId="0">
      <pane ySplit="2" topLeftCell="A14" activePane="bottomLeft" state="frozen"/>
      <selection pane="bottomLeft" activeCell="M9" sqref="M9"/>
    </sheetView>
  </sheetViews>
  <sheetFormatPr defaultRowHeight="14.4" x14ac:dyDescent="0.3"/>
  <cols>
    <col min="1" max="2" width="14.5546875" customWidth="1"/>
    <col min="3" max="3" width="10.6640625" bestFit="1" customWidth="1"/>
    <col min="4" max="4" width="21.44140625" customWidth="1"/>
    <col min="5" max="5" width="25" bestFit="1" customWidth="1"/>
    <col min="6" max="6" width="5.5546875" bestFit="1" customWidth="1"/>
    <col min="7" max="7" width="7.88671875" customWidth="1"/>
    <col min="8" max="8" width="8.88671875" customWidth="1"/>
    <col min="9" max="9" width="9" customWidth="1"/>
    <col min="10" max="10" width="13.33203125" customWidth="1"/>
    <col min="11" max="11" width="10" customWidth="1"/>
    <col min="12" max="14" width="13.21875" customWidth="1"/>
    <col min="15" max="15" width="18.109375" customWidth="1"/>
  </cols>
  <sheetData>
    <row r="1" spans="1:16" ht="34.200000000000003" customHeight="1" x14ac:dyDescent="0.3">
      <c r="E1" s="39" t="s">
        <v>119</v>
      </c>
    </row>
    <row r="2" spans="1:16" ht="28.8" x14ac:dyDescent="0.3">
      <c r="A2" s="35" t="s">
        <v>0</v>
      </c>
      <c r="B2" s="35" t="s">
        <v>205</v>
      </c>
      <c r="C2" s="35" t="s">
        <v>1</v>
      </c>
      <c r="D2" s="35" t="s">
        <v>2</v>
      </c>
      <c r="E2" s="35" t="s">
        <v>3</v>
      </c>
      <c r="F2" s="35" t="s">
        <v>4</v>
      </c>
      <c r="G2" s="36" t="s">
        <v>58</v>
      </c>
      <c r="H2" s="35" t="s">
        <v>5</v>
      </c>
      <c r="I2" s="35" t="s">
        <v>6</v>
      </c>
      <c r="J2" s="35" t="s">
        <v>7</v>
      </c>
      <c r="K2" s="37" t="s">
        <v>8</v>
      </c>
      <c r="L2" s="38" t="s">
        <v>9</v>
      </c>
      <c r="M2" s="38" t="s">
        <v>62</v>
      </c>
      <c r="N2" s="38" t="s">
        <v>63</v>
      </c>
      <c r="O2" s="126" t="s">
        <v>168</v>
      </c>
    </row>
    <row r="3" spans="1:16" ht="15.6" x14ac:dyDescent="0.3">
      <c r="A3" s="2">
        <v>45936</v>
      </c>
      <c r="B3" s="2"/>
      <c r="C3" s="132">
        <v>7902</v>
      </c>
      <c r="D3" s="1" t="s">
        <v>10</v>
      </c>
      <c r="E3" s="1" t="s">
        <v>11</v>
      </c>
      <c r="F3" s="1" t="s">
        <v>12</v>
      </c>
      <c r="G3" s="1">
        <v>1000</v>
      </c>
      <c r="H3" s="1">
        <v>160</v>
      </c>
      <c r="I3" s="32">
        <v>1000</v>
      </c>
      <c r="J3" s="1">
        <f t="shared" ref="J3:J75" si="0">H3*I3</f>
        <v>160000</v>
      </c>
      <c r="K3" s="33">
        <f t="shared" ref="K3:K75" si="1">J3*15%</f>
        <v>24000</v>
      </c>
      <c r="L3" s="34">
        <f t="shared" ref="L3:L75" si="2">J3+K3</f>
        <v>184000</v>
      </c>
      <c r="M3" s="34"/>
      <c r="N3" s="34"/>
      <c r="O3" s="127"/>
    </row>
    <row r="4" spans="1:16" ht="15.6" x14ac:dyDescent="0.3">
      <c r="A4" s="2">
        <v>45937</v>
      </c>
      <c r="B4" s="2"/>
      <c r="C4" s="132" t="s">
        <v>13</v>
      </c>
      <c r="D4" s="1" t="s">
        <v>14</v>
      </c>
      <c r="E4" s="1" t="s">
        <v>17</v>
      </c>
      <c r="F4" s="1" t="s">
        <v>12</v>
      </c>
      <c r="G4" s="1">
        <v>601</v>
      </c>
      <c r="H4" s="1">
        <v>275</v>
      </c>
      <c r="I4" s="32">
        <v>601</v>
      </c>
      <c r="J4" s="1">
        <f t="shared" si="0"/>
        <v>165275</v>
      </c>
      <c r="K4" s="33">
        <f t="shared" si="1"/>
        <v>24791.25</v>
      </c>
      <c r="L4" s="34">
        <f t="shared" si="2"/>
        <v>190066.25</v>
      </c>
      <c r="M4" s="34"/>
      <c r="N4" s="34"/>
      <c r="O4" s="127"/>
    </row>
    <row r="5" spans="1:16" ht="15.6" x14ac:dyDescent="0.3">
      <c r="A5" s="2">
        <v>45938</v>
      </c>
      <c r="B5" s="2"/>
      <c r="C5" s="132">
        <v>55</v>
      </c>
      <c r="D5" s="1" t="s">
        <v>172</v>
      </c>
      <c r="E5" s="1" t="s">
        <v>15</v>
      </c>
      <c r="F5" s="1" t="s">
        <v>12</v>
      </c>
      <c r="G5" s="1">
        <v>2428</v>
      </c>
      <c r="H5" s="1">
        <v>161</v>
      </c>
      <c r="I5" s="32">
        <v>2428</v>
      </c>
      <c r="J5" s="1">
        <f t="shared" si="0"/>
        <v>390908</v>
      </c>
      <c r="K5" s="33">
        <f t="shared" si="1"/>
        <v>58636.2</v>
      </c>
      <c r="L5" s="34">
        <f t="shared" si="2"/>
        <v>449544.2</v>
      </c>
      <c r="M5" s="34"/>
      <c r="N5" s="34"/>
      <c r="O5" s="127"/>
    </row>
    <row r="6" spans="1:16" ht="15.6" x14ac:dyDescent="0.3">
      <c r="A6" s="2">
        <v>45939</v>
      </c>
      <c r="B6" s="2"/>
      <c r="C6" s="132">
        <v>1482</v>
      </c>
      <c r="D6" s="1" t="s">
        <v>161</v>
      </c>
      <c r="E6" s="1" t="s">
        <v>16</v>
      </c>
      <c r="F6" s="1" t="s">
        <v>12</v>
      </c>
      <c r="G6" s="1">
        <v>100</v>
      </c>
      <c r="H6" s="1">
        <v>190</v>
      </c>
      <c r="I6" s="32">
        <v>100</v>
      </c>
      <c r="J6" s="1">
        <f t="shared" si="0"/>
        <v>19000</v>
      </c>
      <c r="K6" s="33">
        <f t="shared" si="1"/>
        <v>2850</v>
      </c>
      <c r="L6" s="34">
        <f t="shared" si="2"/>
        <v>21850</v>
      </c>
      <c r="M6" s="34"/>
      <c r="N6" s="34"/>
      <c r="O6" s="127"/>
    </row>
    <row r="7" spans="1:16" ht="15.6" x14ac:dyDescent="0.3">
      <c r="A7" s="2">
        <v>45941</v>
      </c>
      <c r="B7" s="2"/>
      <c r="C7" s="132">
        <v>1492</v>
      </c>
      <c r="D7" s="1" t="s">
        <v>161</v>
      </c>
      <c r="E7" s="1" t="s">
        <v>17</v>
      </c>
      <c r="F7" s="1" t="s">
        <v>12</v>
      </c>
      <c r="G7" s="1">
        <v>901</v>
      </c>
      <c r="H7" s="1">
        <v>275</v>
      </c>
      <c r="I7" s="32">
        <v>901</v>
      </c>
      <c r="J7" s="1">
        <f t="shared" si="0"/>
        <v>247775</v>
      </c>
      <c r="K7" s="33">
        <f t="shared" si="1"/>
        <v>37166.25</v>
      </c>
      <c r="L7" s="34">
        <f t="shared" si="2"/>
        <v>284941.25</v>
      </c>
      <c r="M7" s="34"/>
      <c r="N7" s="34"/>
      <c r="O7" s="127"/>
    </row>
    <row r="8" spans="1:16" ht="15.6" x14ac:dyDescent="0.3">
      <c r="A8" s="2">
        <v>45941</v>
      </c>
      <c r="B8" s="2"/>
      <c r="C8" s="132">
        <v>1492</v>
      </c>
      <c r="D8" s="1" t="s">
        <v>161</v>
      </c>
      <c r="E8" s="1" t="s">
        <v>18</v>
      </c>
      <c r="F8" s="1" t="s">
        <v>12</v>
      </c>
      <c r="G8" s="1">
        <v>569</v>
      </c>
      <c r="H8" s="1">
        <v>319</v>
      </c>
      <c r="I8" s="32">
        <v>569</v>
      </c>
      <c r="J8" s="1">
        <f t="shared" si="0"/>
        <v>181511</v>
      </c>
      <c r="K8" s="33">
        <f t="shared" si="1"/>
        <v>27226.649999999998</v>
      </c>
      <c r="L8" s="34">
        <f t="shared" si="2"/>
        <v>208737.65</v>
      </c>
      <c r="M8" s="34"/>
      <c r="N8" s="34"/>
      <c r="O8" s="127"/>
    </row>
    <row r="9" spans="1:16" ht="15.6" x14ac:dyDescent="0.3">
      <c r="A9" s="2">
        <v>45941</v>
      </c>
      <c r="B9" s="2"/>
      <c r="C9" s="132">
        <v>1492</v>
      </c>
      <c r="D9" s="1" t="s">
        <v>161</v>
      </c>
      <c r="E9" s="1" t="s">
        <v>19</v>
      </c>
      <c r="F9" s="1" t="s">
        <v>12</v>
      </c>
      <c r="G9" s="1">
        <v>30</v>
      </c>
      <c r="H9" s="1">
        <v>630</v>
      </c>
      <c r="I9" s="32">
        <v>30</v>
      </c>
      <c r="J9" s="1">
        <f t="shared" si="0"/>
        <v>18900</v>
      </c>
      <c r="K9" s="33">
        <f t="shared" si="1"/>
        <v>2835</v>
      </c>
      <c r="L9" s="34">
        <f t="shared" si="2"/>
        <v>21735</v>
      </c>
      <c r="M9" s="34"/>
      <c r="N9" s="34"/>
      <c r="O9" s="127"/>
    </row>
    <row r="10" spans="1:16" ht="15.6" x14ac:dyDescent="0.3">
      <c r="A10" s="2">
        <v>45943</v>
      </c>
      <c r="B10" s="2"/>
      <c r="C10" s="132">
        <v>1517</v>
      </c>
      <c r="D10" s="1" t="s">
        <v>161</v>
      </c>
      <c r="E10" s="1" t="s">
        <v>20</v>
      </c>
      <c r="F10" s="1" t="s">
        <v>21</v>
      </c>
      <c r="G10" s="1">
        <v>340</v>
      </c>
      <c r="H10" s="1">
        <v>44</v>
      </c>
      <c r="I10" s="32">
        <v>4674.93</v>
      </c>
      <c r="J10" s="1">
        <f t="shared" si="0"/>
        <v>205696.92</v>
      </c>
      <c r="K10" s="33">
        <f t="shared" si="1"/>
        <v>30854.538</v>
      </c>
      <c r="L10" s="34">
        <f t="shared" si="2"/>
        <v>236551.45800000001</v>
      </c>
      <c r="M10" s="34"/>
      <c r="N10" s="34"/>
      <c r="O10" s="127"/>
    </row>
    <row r="11" spans="1:16" ht="15.6" x14ac:dyDescent="0.3">
      <c r="A11" s="2">
        <v>45950</v>
      </c>
      <c r="B11" s="2"/>
      <c r="C11" s="132">
        <v>1593</v>
      </c>
      <c r="D11" s="1" t="s">
        <v>161</v>
      </c>
      <c r="E11" s="1" t="s">
        <v>57</v>
      </c>
      <c r="F11" s="1" t="s">
        <v>21</v>
      </c>
      <c r="G11" s="1">
        <v>1145</v>
      </c>
      <c r="H11" s="1">
        <v>23.5</v>
      </c>
      <c r="I11" s="32">
        <v>25082.68</v>
      </c>
      <c r="J11" s="1">
        <f t="shared" si="0"/>
        <v>589442.98</v>
      </c>
      <c r="K11" s="33">
        <f t="shared" si="1"/>
        <v>88416.447</v>
      </c>
      <c r="L11" s="34">
        <f t="shared" si="2"/>
        <v>677859.42700000003</v>
      </c>
      <c r="M11" s="34"/>
      <c r="N11" s="34"/>
      <c r="O11" s="128"/>
    </row>
    <row r="12" spans="1:16" ht="15.6" x14ac:dyDescent="0.3">
      <c r="A12" s="2">
        <v>45957</v>
      </c>
      <c r="B12" s="2"/>
      <c r="C12" s="132">
        <v>8686</v>
      </c>
      <c r="D12" s="1" t="s">
        <v>10</v>
      </c>
      <c r="E12" s="1" t="s">
        <v>11</v>
      </c>
      <c r="F12" s="1" t="s">
        <v>12</v>
      </c>
      <c r="G12" s="1">
        <v>2000</v>
      </c>
      <c r="H12" s="1">
        <v>162</v>
      </c>
      <c r="I12" s="1">
        <v>2000</v>
      </c>
      <c r="J12" s="1">
        <f t="shared" si="0"/>
        <v>324000</v>
      </c>
      <c r="K12" s="33">
        <f t="shared" si="1"/>
        <v>48600</v>
      </c>
      <c r="L12" s="34">
        <f t="shared" si="2"/>
        <v>372600</v>
      </c>
      <c r="M12" s="34"/>
      <c r="N12" s="34"/>
      <c r="O12" s="127"/>
    </row>
    <row r="13" spans="1:16" ht="15.6" x14ac:dyDescent="0.3">
      <c r="A13" s="2">
        <v>45959</v>
      </c>
      <c r="B13" s="2"/>
      <c r="C13" s="1">
        <v>1705</v>
      </c>
      <c r="D13" s="1" t="s">
        <v>161</v>
      </c>
      <c r="E13" s="1" t="s">
        <v>64</v>
      </c>
      <c r="F13" s="1" t="s">
        <v>12</v>
      </c>
      <c r="G13" s="1"/>
      <c r="H13" s="1"/>
      <c r="I13" s="1"/>
      <c r="J13" s="1">
        <f t="shared" si="0"/>
        <v>0</v>
      </c>
      <c r="K13" s="33">
        <f t="shared" si="1"/>
        <v>0</v>
      </c>
      <c r="L13" s="34">
        <f t="shared" si="2"/>
        <v>0</v>
      </c>
      <c r="M13" s="34"/>
      <c r="N13" s="34"/>
      <c r="O13" s="127"/>
      <c r="P13" s="10"/>
    </row>
    <row r="14" spans="1:16" ht="15.6" x14ac:dyDescent="0.3">
      <c r="A14" s="2">
        <v>45963</v>
      </c>
      <c r="B14" s="2" t="s">
        <v>206</v>
      </c>
      <c r="C14" s="132">
        <v>1758</v>
      </c>
      <c r="D14" s="1" t="s">
        <v>161</v>
      </c>
      <c r="E14" s="1" t="s">
        <v>73</v>
      </c>
      <c r="F14" s="1" t="s">
        <v>12</v>
      </c>
      <c r="G14" s="1">
        <v>5</v>
      </c>
      <c r="H14" s="1">
        <v>275</v>
      </c>
      <c r="I14" s="1">
        <v>5</v>
      </c>
      <c r="J14" s="1">
        <f t="shared" si="0"/>
        <v>1375</v>
      </c>
      <c r="K14" s="33">
        <f t="shared" si="1"/>
        <v>206.25</v>
      </c>
      <c r="L14" s="34">
        <f t="shared" si="2"/>
        <v>1581.25</v>
      </c>
      <c r="M14" s="34"/>
      <c r="N14" s="34"/>
      <c r="O14" s="127"/>
    </row>
    <row r="15" spans="1:16" ht="15.6" x14ac:dyDescent="0.3">
      <c r="A15" s="2">
        <v>45963</v>
      </c>
      <c r="B15" s="2" t="s">
        <v>206</v>
      </c>
      <c r="C15" s="132">
        <v>1758</v>
      </c>
      <c r="D15" s="1" t="s">
        <v>161</v>
      </c>
      <c r="E15" s="1" t="s">
        <v>74</v>
      </c>
      <c r="F15" s="1" t="s">
        <v>12</v>
      </c>
      <c r="G15" s="1">
        <v>5</v>
      </c>
      <c r="H15" s="1">
        <v>380</v>
      </c>
      <c r="I15" s="1">
        <v>5</v>
      </c>
      <c r="J15" s="1">
        <f t="shared" si="0"/>
        <v>1900</v>
      </c>
      <c r="K15" s="33">
        <f t="shared" si="1"/>
        <v>285</v>
      </c>
      <c r="L15" s="34">
        <f t="shared" si="2"/>
        <v>2185</v>
      </c>
      <c r="M15" s="34"/>
      <c r="N15" s="34"/>
      <c r="O15" s="127"/>
    </row>
    <row r="16" spans="1:16" ht="15.6" x14ac:dyDescent="0.3">
      <c r="A16" s="2">
        <v>45963</v>
      </c>
      <c r="B16" s="2" t="s">
        <v>206</v>
      </c>
      <c r="C16" s="132">
        <v>1758</v>
      </c>
      <c r="D16" s="1" t="s">
        <v>161</v>
      </c>
      <c r="E16" s="1" t="s">
        <v>75</v>
      </c>
      <c r="F16" s="1" t="s">
        <v>12</v>
      </c>
      <c r="G16" s="1">
        <v>10</v>
      </c>
      <c r="H16" s="1">
        <v>70</v>
      </c>
      <c r="I16" s="1">
        <v>10</v>
      </c>
      <c r="J16" s="1">
        <f t="shared" si="0"/>
        <v>700</v>
      </c>
      <c r="K16" s="33">
        <f t="shared" si="1"/>
        <v>105</v>
      </c>
      <c r="L16" s="34">
        <f t="shared" si="2"/>
        <v>805</v>
      </c>
      <c r="M16" s="34"/>
      <c r="N16" s="34"/>
      <c r="O16" s="127"/>
    </row>
    <row r="17" spans="1:15" ht="15.6" x14ac:dyDescent="0.3">
      <c r="A17" s="2">
        <v>45970</v>
      </c>
      <c r="B17" s="2" t="s">
        <v>206</v>
      </c>
      <c r="C17" s="132">
        <v>1848</v>
      </c>
      <c r="D17" s="1" t="s">
        <v>161</v>
      </c>
      <c r="E17" s="1" t="s">
        <v>73</v>
      </c>
      <c r="F17" s="1" t="s">
        <v>12</v>
      </c>
      <c r="G17" s="1">
        <v>5</v>
      </c>
      <c r="H17" s="1">
        <v>275</v>
      </c>
      <c r="I17" s="1">
        <v>5</v>
      </c>
      <c r="J17" s="1">
        <f t="shared" si="0"/>
        <v>1375</v>
      </c>
      <c r="K17" s="33">
        <f t="shared" si="1"/>
        <v>206.25</v>
      </c>
      <c r="L17" s="34">
        <f t="shared" si="2"/>
        <v>1581.25</v>
      </c>
      <c r="M17" s="34"/>
      <c r="N17" s="34"/>
      <c r="O17" s="127"/>
    </row>
    <row r="18" spans="1:15" ht="15.6" x14ac:dyDescent="0.3">
      <c r="A18" s="2">
        <v>45973</v>
      </c>
      <c r="B18" s="2"/>
      <c r="C18" s="132">
        <v>219</v>
      </c>
      <c r="D18" s="1" t="s">
        <v>172</v>
      </c>
      <c r="E18" s="1" t="s">
        <v>11</v>
      </c>
      <c r="F18" s="1" t="s">
        <v>12</v>
      </c>
      <c r="G18" s="1">
        <v>2400</v>
      </c>
      <c r="H18" s="1">
        <v>163</v>
      </c>
      <c r="I18" s="1">
        <v>2400</v>
      </c>
      <c r="J18" s="1">
        <f t="shared" si="0"/>
        <v>391200</v>
      </c>
      <c r="K18" s="33">
        <f t="shared" si="1"/>
        <v>58680</v>
      </c>
      <c r="L18" s="34">
        <f t="shared" si="2"/>
        <v>449880</v>
      </c>
      <c r="M18" s="34"/>
      <c r="N18" s="34"/>
      <c r="O18" s="127"/>
    </row>
    <row r="19" spans="1:15" ht="15.6" x14ac:dyDescent="0.3">
      <c r="A19" s="2">
        <v>45974</v>
      </c>
      <c r="B19" s="2"/>
      <c r="C19" s="132" t="s">
        <v>91</v>
      </c>
      <c r="D19" s="1" t="s">
        <v>90</v>
      </c>
      <c r="E19" s="1" t="s">
        <v>92</v>
      </c>
      <c r="F19" s="1" t="s">
        <v>12</v>
      </c>
      <c r="G19" s="1">
        <v>220</v>
      </c>
      <c r="H19" s="1">
        <v>397</v>
      </c>
      <c r="I19" s="1">
        <v>220</v>
      </c>
      <c r="J19" s="1">
        <f t="shared" si="0"/>
        <v>87340</v>
      </c>
      <c r="K19" s="33">
        <f t="shared" si="1"/>
        <v>13101</v>
      </c>
      <c r="L19" s="34">
        <f t="shared" si="2"/>
        <v>100441</v>
      </c>
      <c r="M19" s="34"/>
      <c r="N19" s="34"/>
      <c r="O19" s="128"/>
    </row>
    <row r="20" spans="1:15" ht="15.6" x14ac:dyDescent="0.3">
      <c r="A20" s="2">
        <v>45974</v>
      </c>
      <c r="B20" s="2"/>
      <c r="C20" s="132" t="s">
        <v>91</v>
      </c>
      <c r="D20" s="1" t="s">
        <v>90</v>
      </c>
      <c r="E20" s="1" t="s">
        <v>179</v>
      </c>
      <c r="F20" s="1" t="s">
        <v>12</v>
      </c>
      <c r="G20" s="1">
        <v>410</v>
      </c>
      <c r="H20" s="1">
        <v>397</v>
      </c>
      <c r="I20" s="1">
        <v>410</v>
      </c>
      <c r="J20" s="1">
        <f t="shared" si="0"/>
        <v>162770</v>
      </c>
      <c r="K20" s="33">
        <f t="shared" si="1"/>
        <v>24415.5</v>
      </c>
      <c r="L20" s="34">
        <f t="shared" si="2"/>
        <v>187185.5</v>
      </c>
      <c r="M20" s="34"/>
      <c r="N20" s="34"/>
      <c r="O20" s="128"/>
    </row>
    <row r="21" spans="1:15" ht="15.6" x14ac:dyDescent="0.3">
      <c r="A21" s="2">
        <v>45974</v>
      </c>
      <c r="B21" s="2"/>
      <c r="C21" s="132" t="s">
        <v>91</v>
      </c>
      <c r="D21" s="1" t="s">
        <v>90</v>
      </c>
      <c r="E21" s="1" t="s">
        <v>93</v>
      </c>
      <c r="F21" s="1" t="s">
        <v>12</v>
      </c>
      <c r="G21" s="1">
        <v>220</v>
      </c>
      <c r="H21" s="1">
        <v>397</v>
      </c>
      <c r="I21" s="1">
        <v>220</v>
      </c>
      <c r="J21" s="1">
        <f t="shared" si="0"/>
        <v>87340</v>
      </c>
      <c r="K21" s="33">
        <f t="shared" si="1"/>
        <v>13101</v>
      </c>
      <c r="L21" s="34">
        <f t="shared" si="2"/>
        <v>100441</v>
      </c>
      <c r="M21" s="34"/>
      <c r="N21" s="34"/>
      <c r="O21" s="128"/>
    </row>
    <row r="22" spans="1:15" ht="15.6" x14ac:dyDescent="0.3">
      <c r="A22" s="2">
        <v>45974</v>
      </c>
      <c r="B22" s="2"/>
      <c r="C22" s="132" t="s">
        <v>91</v>
      </c>
      <c r="D22" s="1" t="s">
        <v>90</v>
      </c>
      <c r="E22" s="1" t="s">
        <v>94</v>
      </c>
      <c r="F22" s="1" t="s">
        <v>12</v>
      </c>
      <c r="G22" s="1">
        <v>350</v>
      </c>
      <c r="H22" s="1">
        <v>397</v>
      </c>
      <c r="I22" s="1">
        <v>350</v>
      </c>
      <c r="J22" s="1">
        <f t="shared" si="0"/>
        <v>138950</v>
      </c>
      <c r="K22" s="33">
        <f t="shared" si="1"/>
        <v>20842.5</v>
      </c>
      <c r="L22" s="34">
        <f t="shared" si="2"/>
        <v>159792.5</v>
      </c>
      <c r="M22" s="34"/>
      <c r="N22" s="34"/>
      <c r="O22" s="128"/>
    </row>
    <row r="23" spans="1:15" ht="15.6" x14ac:dyDescent="0.3">
      <c r="A23" s="2">
        <v>45977</v>
      </c>
      <c r="B23" s="2" t="s">
        <v>206</v>
      </c>
      <c r="C23" s="132">
        <v>1954</v>
      </c>
      <c r="D23" s="1" t="s">
        <v>161</v>
      </c>
      <c r="E23" s="1" t="s">
        <v>73</v>
      </c>
      <c r="F23" s="1" t="s">
        <v>12</v>
      </c>
      <c r="G23" s="1">
        <v>5</v>
      </c>
      <c r="H23" s="1">
        <v>275</v>
      </c>
      <c r="I23" s="1">
        <v>5</v>
      </c>
      <c r="J23" s="1">
        <f t="shared" si="0"/>
        <v>1375</v>
      </c>
      <c r="K23" s="33">
        <f t="shared" si="1"/>
        <v>206.25</v>
      </c>
      <c r="L23" s="34">
        <f t="shared" si="2"/>
        <v>1581.25</v>
      </c>
      <c r="M23" s="34"/>
      <c r="N23" s="34"/>
      <c r="O23" s="128"/>
    </row>
    <row r="24" spans="1:15" ht="15.6" x14ac:dyDescent="0.3">
      <c r="A24" s="2">
        <v>45978</v>
      </c>
      <c r="B24" s="2"/>
      <c r="C24" s="132">
        <v>18190</v>
      </c>
      <c r="D24" s="1" t="s">
        <v>118</v>
      </c>
      <c r="E24" s="1" t="s">
        <v>17</v>
      </c>
      <c r="F24" s="1" t="s">
        <v>12</v>
      </c>
      <c r="G24" s="1">
        <v>901</v>
      </c>
      <c r="H24" s="1">
        <v>277</v>
      </c>
      <c r="I24" s="1">
        <v>901</v>
      </c>
      <c r="J24" s="1">
        <f t="shared" si="0"/>
        <v>249577</v>
      </c>
      <c r="K24" s="33">
        <f t="shared" si="1"/>
        <v>37436.549999999996</v>
      </c>
      <c r="L24" s="34">
        <f t="shared" si="2"/>
        <v>287013.55</v>
      </c>
      <c r="M24" s="34"/>
      <c r="N24" s="34"/>
      <c r="O24" s="128"/>
    </row>
    <row r="25" spans="1:15" ht="15.6" x14ac:dyDescent="0.3">
      <c r="A25" s="2">
        <v>45978</v>
      </c>
      <c r="B25" s="2"/>
      <c r="C25" s="132">
        <v>18190</v>
      </c>
      <c r="D25" s="1" t="s">
        <v>118</v>
      </c>
      <c r="E25" s="1" t="s">
        <v>18</v>
      </c>
      <c r="F25" s="1" t="s">
        <v>12</v>
      </c>
      <c r="G25" s="1">
        <v>450</v>
      </c>
      <c r="H25" s="1">
        <v>325</v>
      </c>
      <c r="I25" s="1">
        <v>450</v>
      </c>
      <c r="J25" s="1">
        <f t="shared" si="0"/>
        <v>146250</v>
      </c>
      <c r="K25" s="33">
        <f t="shared" si="1"/>
        <v>21937.5</v>
      </c>
      <c r="L25" s="34">
        <f t="shared" si="2"/>
        <v>168187.5</v>
      </c>
      <c r="M25" s="34"/>
      <c r="N25" s="34"/>
      <c r="O25" s="128"/>
    </row>
    <row r="26" spans="1:15" ht="15.6" x14ac:dyDescent="0.3">
      <c r="A26" s="2">
        <v>45979</v>
      </c>
      <c r="B26" s="2"/>
      <c r="C26" s="132">
        <v>249</v>
      </c>
      <c r="D26" s="1" t="s">
        <v>172</v>
      </c>
      <c r="E26" s="1" t="s">
        <v>11</v>
      </c>
      <c r="F26" s="1" t="s">
        <v>12</v>
      </c>
      <c r="G26" s="1">
        <v>2000</v>
      </c>
      <c r="H26" s="1">
        <v>162.5</v>
      </c>
      <c r="I26" s="1">
        <v>2000</v>
      </c>
      <c r="J26" s="1">
        <f t="shared" si="0"/>
        <v>325000</v>
      </c>
      <c r="K26" s="33">
        <f t="shared" si="1"/>
        <v>48750</v>
      </c>
      <c r="L26" s="34">
        <f t="shared" si="2"/>
        <v>373750</v>
      </c>
      <c r="M26" s="34"/>
      <c r="N26" s="34"/>
      <c r="O26" s="128"/>
    </row>
    <row r="27" spans="1:15" ht="15.6" x14ac:dyDescent="0.3">
      <c r="A27" s="2">
        <v>45983</v>
      </c>
      <c r="B27" s="2" t="s">
        <v>206</v>
      </c>
      <c r="C27" s="132">
        <v>2016</v>
      </c>
      <c r="D27" s="1" t="s">
        <v>161</v>
      </c>
      <c r="E27" s="1" t="s">
        <v>120</v>
      </c>
      <c r="F27" s="1" t="s">
        <v>12</v>
      </c>
      <c r="G27" s="1">
        <v>5</v>
      </c>
      <c r="H27" s="1">
        <v>280</v>
      </c>
      <c r="I27" s="1">
        <v>5</v>
      </c>
      <c r="J27" s="1">
        <f t="shared" si="0"/>
        <v>1400</v>
      </c>
      <c r="K27" s="33">
        <f t="shared" si="1"/>
        <v>210</v>
      </c>
      <c r="L27" s="34">
        <f t="shared" si="2"/>
        <v>1610</v>
      </c>
      <c r="M27" s="34"/>
      <c r="N27" s="34"/>
      <c r="O27" s="128"/>
    </row>
    <row r="28" spans="1:15" ht="15.6" x14ac:dyDescent="0.3">
      <c r="A28" s="2">
        <v>45985</v>
      </c>
      <c r="B28" s="2" t="s">
        <v>206</v>
      </c>
      <c r="C28" s="1"/>
      <c r="D28" s="1" t="s">
        <v>207</v>
      </c>
      <c r="E28" s="1" t="s">
        <v>108</v>
      </c>
      <c r="F28" s="1" t="s">
        <v>12</v>
      </c>
      <c r="G28" s="1">
        <v>90</v>
      </c>
      <c r="H28" s="1">
        <v>105</v>
      </c>
      <c r="I28" s="1">
        <v>90</v>
      </c>
      <c r="J28" s="1">
        <f t="shared" si="0"/>
        <v>9450</v>
      </c>
      <c r="K28" s="33">
        <f t="shared" si="1"/>
        <v>1417.5</v>
      </c>
      <c r="L28" s="34">
        <f t="shared" si="2"/>
        <v>10867.5</v>
      </c>
      <c r="M28" s="34"/>
      <c r="N28" s="34"/>
      <c r="O28" s="128"/>
    </row>
    <row r="29" spans="1:15" ht="15.6" x14ac:dyDescent="0.3">
      <c r="A29" s="2">
        <v>45985</v>
      </c>
      <c r="B29" s="2" t="s">
        <v>206</v>
      </c>
      <c r="C29" s="1"/>
      <c r="D29" s="1" t="s">
        <v>207</v>
      </c>
      <c r="E29" s="1" t="s">
        <v>109</v>
      </c>
      <c r="F29" s="1" t="s">
        <v>12</v>
      </c>
      <c r="G29" s="1">
        <v>80</v>
      </c>
      <c r="H29" s="1">
        <v>110</v>
      </c>
      <c r="I29" s="1">
        <v>80</v>
      </c>
      <c r="J29" s="1">
        <f t="shared" si="0"/>
        <v>8800</v>
      </c>
      <c r="K29" s="33">
        <f t="shared" si="1"/>
        <v>1320</v>
      </c>
      <c r="L29" s="34">
        <f t="shared" si="2"/>
        <v>10120</v>
      </c>
      <c r="M29" s="34"/>
      <c r="N29" s="34"/>
      <c r="O29" s="128"/>
    </row>
    <row r="30" spans="1:15" ht="15.6" x14ac:dyDescent="0.3">
      <c r="A30" s="2">
        <v>45988</v>
      </c>
      <c r="B30" s="2" t="s">
        <v>206</v>
      </c>
      <c r="C30" s="132">
        <v>1524</v>
      </c>
      <c r="D30" s="1" t="s">
        <v>125</v>
      </c>
      <c r="E30" s="5" t="s">
        <v>124</v>
      </c>
      <c r="F30" s="1" t="s">
        <v>12</v>
      </c>
      <c r="G30" s="1">
        <v>10</v>
      </c>
      <c r="H30" s="1">
        <v>684</v>
      </c>
      <c r="I30" s="1">
        <v>10</v>
      </c>
      <c r="J30" s="1">
        <f t="shared" si="0"/>
        <v>6840</v>
      </c>
      <c r="K30" s="33">
        <f t="shared" si="1"/>
        <v>1026</v>
      </c>
      <c r="L30" s="34">
        <f t="shared" si="2"/>
        <v>7866</v>
      </c>
      <c r="M30" s="34"/>
      <c r="N30" s="34"/>
      <c r="O30" s="128"/>
    </row>
    <row r="31" spans="1:15" ht="15.6" x14ac:dyDescent="0.3">
      <c r="A31" s="2">
        <v>45986</v>
      </c>
      <c r="B31" s="2"/>
      <c r="C31" s="132">
        <v>2051</v>
      </c>
      <c r="D31" s="1" t="s">
        <v>161</v>
      </c>
      <c r="E31" s="1" t="s">
        <v>126</v>
      </c>
      <c r="F31" s="1" t="s">
        <v>12</v>
      </c>
      <c r="G31" s="1">
        <v>1500</v>
      </c>
      <c r="H31" s="1">
        <v>320</v>
      </c>
      <c r="I31" s="1">
        <v>1500</v>
      </c>
      <c r="J31" s="1">
        <f t="shared" si="0"/>
        <v>480000</v>
      </c>
      <c r="K31" s="33">
        <f t="shared" si="1"/>
        <v>72000</v>
      </c>
      <c r="L31" s="34">
        <f t="shared" si="2"/>
        <v>552000</v>
      </c>
      <c r="M31" s="34"/>
      <c r="N31" s="34"/>
      <c r="O31" s="128"/>
    </row>
    <row r="32" spans="1:15" ht="15.6" x14ac:dyDescent="0.3">
      <c r="A32" s="2">
        <v>45991</v>
      </c>
      <c r="B32" s="2" t="s">
        <v>206</v>
      </c>
      <c r="C32" s="132" t="s">
        <v>142</v>
      </c>
      <c r="D32" s="1" t="s">
        <v>14</v>
      </c>
      <c r="E32" s="1" t="s">
        <v>121</v>
      </c>
      <c r="F32" s="1" t="s">
        <v>12</v>
      </c>
      <c r="G32" s="1">
        <v>300</v>
      </c>
      <c r="H32" s="1">
        <v>43</v>
      </c>
      <c r="I32" s="1">
        <v>300</v>
      </c>
      <c r="J32" s="1">
        <f t="shared" si="0"/>
        <v>12900</v>
      </c>
      <c r="K32" s="33">
        <f t="shared" si="1"/>
        <v>1935</v>
      </c>
      <c r="L32" s="34">
        <f t="shared" si="2"/>
        <v>14835</v>
      </c>
      <c r="M32" s="34"/>
      <c r="N32" s="34"/>
      <c r="O32" s="128"/>
    </row>
    <row r="33" spans="1:15" ht="15.6" x14ac:dyDescent="0.3">
      <c r="A33" s="2">
        <v>45995</v>
      </c>
      <c r="B33" s="2"/>
      <c r="C33" s="132">
        <v>2109</v>
      </c>
      <c r="D33" s="1" t="s">
        <v>161</v>
      </c>
      <c r="E33" s="1" t="s">
        <v>141</v>
      </c>
      <c r="F33" s="1" t="s">
        <v>12</v>
      </c>
      <c r="G33" s="1">
        <v>307</v>
      </c>
      <c r="H33" s="1">
        <v>18</v>
      </c>
      <c r="I33" s="1">
        <v>5011.37</v>
      </c>
      <c r="J33" s="1">
        <f t="shared" si="0"/>
        <v>90204.66</v>
      </c>
      <c r="K33" s="33">
        <f t="shared" si="1"/>
        <v>13530.699000000001</v>
      </c>
      <c r="L33" s="34">
        <f t="shared" si="2"/>
        <v>103735.359</v>
      </c>
      <c r="M33" s="34"/>
      <c r="N33" s="34"/>
      <c r="O33" s="128"/>
    </row>
    <row r="34" spans="1:15" ht="15.6" x14ac:dyDescent="0.3">
      <c r="A34" s="2">
        <v>46002</v>
      </c>
      <c r="B34" s="2" t="s">
        <v>206</v>
      </c>
      <c r="C34" s="132">
        <v>13987</v>
      </c>
      <c r="D34" s="1" t="s">
        <v>159</v>
      </c>
      <c r="E34" s="5" t="s">
        <v>124</v>
      </c>
      <c r="F34" s="1"/>
      <c r="G34" s="1">
        <v>15</v>
      </c>
      <c r="H34" s="1">
        <v>738</v>
      </c>
      <c r="I34" s="1">
        <v>15</v>
      </c>
      <c r="J34" s="1">
        <f t="shared" si="0"/>
        <v>11070</v>
      </c>
      <c r="K34" s="33">
        <f t="shared" si="1"/>
        <v>1660.5</v>
      </c>
      <c r="L34" s="34">
        <f t="shared" si="2"/>
        <v>12730.5</v>
      </c>
      <c r="M34" s="34"/>
      <c r="N34" s="34"/>
      <c r="O34" s="128"/>
    </row>
    <row r="35" spans="1:15" ht="15.6" x14ac:dyDescent="0.3">
      <c r="A35" s="2">
        <v>46004</v>
      </c>
      <c r="B35" s="2" t="s">
        <v>206</v>
      </c>
      <c r="C35" s="132">
        <v>5474</v>
      </c>
      <c r="D35" s="1" t="s">
        <v>160</v>
      </c>
      <c r="E35" s="5" t="s">
        <v>124</v>
      </c>
      <c r="F35" s="1" t="s">
        <v>12</v>
      </c>
      <c r="G35" s="1">
        <v>7</v>
      </c>
      <c r="H35" s="1">
        <f>37.5*18</f>
        <v>675</v>
      </c>
      <c r="I35" s="1">
        <v>7</v>
      </c>
      <c r="J35" s="1">
        <f t="shared" si="0"/>
        <v>4725</v>
      </c>
      <c r="K35" s="33">
        <f t="shared" si="1"/>
        <v>708.75</v>
      </c>
      <c r="L35" s="34">
        <f t="shared" si="2"/>
        <v>5433.75</v>
      </c>
      <c r="M35" s="34"/>
      <c r="N35" s="34"/>
      <c r="O35" s="128"/>
    </row>
    <row r="36" spans="1:15" ht="15.6" x14ac:dyDescent="0.3">
      <c r="A36" s="2">
        <v>45997</v>
      </c>
      <c r="B36" s="2"/>
      <c r="C36" s="132">
        <v>372</v>
      </c>
      <c r="D36" s="1" t="s">
        <v>172</v>
      </c>
      <c r="E36" s="1" t="s">
        <v>169</v>
      </c>
      <c r="F36" s="1" t="s">
        <v>12</v>
      </c>
      <c r="G36" s="1">
        <v>899</v>
      </c>
      <c r="H36" s="1">
        <v>275</v>
      </c>
      <c r="I36" s="1">
        <v>899</v>
      </c>
      <c r="J36" s="1">
        <f t="shared" si="0"/>
        <v>247225</v>
      </c>
      <c r="K36" s="33">
        <f t="shared" si="1"/>
        <v>37083.75</v>
      </c>
      <c r="L36" s="34">
        <f t="shared" si="2"/>
        <v>284308.75</v>
      </c>
      <c r="M36" s="34"/>
      <c r="N36" s="34"/>
      <c r="O36" s="128"/>
    </row>
    <row r="37" spans="1:15" ht="15.6" x14ac:dyDescent="0.3">
      <c r="A37" s="2">
        <v>45997</v>
      </c>
      <c r="B37" s="2"/>
      <c r="C37" s="132">
        <v>372</v>
      </c>
      <c r="D37" s="1" t="s">
        <v>172</v>
      </c>
      <c r="E37" s="1" t="s">
        <v>170</v>
      </c>
      <c r="F37" s="1" t="s">
        <v>12</v>
      </c>
      <c r="G37" s="1">
        <v>570</v>
      </c>
      <c r="H37" s="1">
        <v>315</v>
      </c>
      <c r="I37" s="1">
        <v>570</v>
      </c>
      <c r="J37" s="1">
        <f t="shared" si="0"/>
        <v>179550</v>
      </c>
      <c r="K37" s="33">
        <f t="shared" si="1"/>
        <v>26932.5</v>
      </c>
      <c r="L37" s="34">
        <f t="shared" si="2"/>
        <v>206482.5</v>
      </c>
      <c r="M37" s="34"/>
      <c r="N37" s="34"/>
      <c r="O37" s="128"/>
    </row>
    <row r="38" spans="1:15" ht="15.6" x14ac:dyDescent="0.3">
      <c r="A38" s="2">
        <v>45997</v>
      </c>
      <c r="B38" s="2"/>
      <c r="C38" s="132">
        <v>372</v>
      </c>
      <c r="D38" s="1" t="s">
        <v>172</v>
      </c>
      <c r="E38" s="1" t="s">
        <v>171</v>
      </c>
      <c r="F38" s="1" t="s">
        <v>12</v>
      </c>
      <c r="G38" s="1">
        <v>31</v>
      </c>
      <c r="H38" s="1">
        <v>612</v>
      </c>
      <c r="I38" s="1">
        <v>31</v>
      </c>
      <c r="J38" s="1">
        <f t="shared" si="0"/>
        <v>18972</v>
      </c>
      <c r="K38" s="33">
        <f t="shared" si="1"/>
        <v>2845.7999999999997</v>
      </c>
      <c r="L38" s="34">
        <f t="shared" si="2"/>
        <v>21817.8</v>
      </c>
      <c r="M38" s="34"/>
      <c r="N38" s="34"/>
      <c r="O38" s="128"/>
    </row>
    <row r="39" spans="1:15" ht="15.6" x14ac:dyDescent="0.3">
      <c r="A39" s="2">
        <v>45998</v>
      </c>
      <c r="B39" s="2"/>
      <c r="C39" s="132">
        <v>2132</v>
      </c>
      <c r="D39" s="131" t="s">
        <v>161</v>
      </c>
      <c r="E39" s="131" t="s">
        <v>211</v>
      </c>
      <c r="F39" s="1" t="s">
        <v>12</v>
      </c>
      <c r="G39" s="125">
        <v>30</v>
      </c>
      <c r="H39" s="1">
        <v>540</v>
      </c>
      <c r="I39" s="125">
        <v>30</v>
      </c>
      <c r="J39" s="1">
        <f t="shared" si="0"/>
        <v>16200</v>
      </c>
      <c r="K39" s="33">
        <f t="shared" si="1"/>
        <v>2430</v>
      </c>
      <c r="L39" s="34">
        <f t="shared" si="2"/>
        <v>18630</v>
      </c>
      <c r="M39" s="34"/>
      <c r="N39" s="34"/>
      <c r="O39" s="128"/>
    </row>
    <row r="40" spans="1:15" ht="15.6" x14ac:dyDescent="0.3">
      <c r="A40" s="2">
        <v>45998</v>
      </c>
      <c r="B40" s="2"/>
      <c r="C40" s="132">
        <v>2132</v>
      </c>
      <c r="D40" s="131" t="s">
        <v>161</v>
      </c>
      <c r="E40" s="131" t="s">
        <v>163</v>
      </c>
      <c r="F40" s="1" t="s">
        <v>12</v>
      </c>
      <c r="G40" s="125">
        <v>450</v>
      </c>
      <c r="H40" s="1">
        <v>280</v>
      </c>
      <c r="I40" s="125">
        <v>450</v>
      </c>
      <c r="J40" s="1">
        <f t="shared" si="0"/>
        <v>126000</v>
      </c>
      <c r="K40" s="33">
        <f t="shared" si="1"/>
        <v>18900</v>
      </c>
      <c r="L40" s="34">
        <f t="shared" si="2"/>
        <v>144900</v>
      </c>
      <c r="M40" s="34"/>
      <c r="N40" s="34"/>
      <c r="O40" s="128"/>
    </row>
    <row r="41" spans="1:15" ht="15.6" x14ac:dyDescent="0.3">
      <c r="A41" s="2">
        <v>45998</v>
      </c>
      <c r="B41" s="2"/>
      <c r="C41" s="132">
        <v>2132</v>
      </c>
      <c r="D41" s="131" t="s">
        <v>161</v>
      </c>
      <c r="E41" s="131" t="s">
        <v>156</v>
      </c>
      <c r="F41" s="1" t="s">
        <v>12</v>
      </c>
      <c r="G41" s="125">
        <v>120</v>
      </c>
      <c r="H41" s="1">
        <v>390</v>
      </c>
      <c r="I41" s="125">
        <v>120</v>
      </c>
      <c r="J41" s="1">
        <f t="shared" si="0"/>
        <v>46800</v>
      </c>
      <c r="K41" s="33">
        <f t="shared" si="1"/>
        <v>7020</v>
      </c>
      <c r="L41" s="34">
        <f t="shared" si="2"/>
        <v>53820</v>
      </c>
      <c r="M41" s="34"/>
      <c r="N41" s="34"/>
      <c r="O41" s="128"/>
    </row>
    <row r="42" spans="1:15" ht="15.6" x14ac:dyDescent="0.3">
      <c r="A42" s="2">
        <v>45998</v>
      </c>
      <c r="B42" s="2"/>
      <c r="C42" s="132">
        <v>2132</v>
      </c>
      <c r="D42" s="131" t="s">
        <v>161</v>
      </c>
      <c r="E42" s="131" t="s">
        <v>164</v>
      </c>
      <c r="F42" s="1" t="s">
        <v>12</v>
      </c>
      <c r="G42" s="125">
        <v>450</v>
      </c>
      <c r="H42" s="1">
        <v>280</v>
      </c>
      <c r="I42" s="125">
        <v>450</v>
      </c>
      <c r="J42" s="1">
        <f t="shared" si="0"/>
        <v>126000</v>
      </c>
      <c r="K42" s="33">
        <f t="shared" si="1"/>
        <v>18900</v>
      </c>
      <c r="L42" s="34">
        <f t="shared" si="2"/>
        <v>144900</v>
      </c>
      <c r="M42" s="34"/>
      <c r="N42" s="34"/>
      <c r="O42" s="128"/>
    </row>
    <row r="43" spans="1:15" ht="15.6" x14ac:dyDescent="0.3">
      <c r="A43" s="2">
        <v>45998</v>
      </c>
      <c r="B43" s="2"/>
      <c r="C43" s="132">
        <v>2132</v>
      </c>
      <c r="D43" s="131" t="s">
        <v>161</v>
      </c>
      <c r="E43" s="131" t="s">
        <v>165</v>
      </c>
      <c r="F43" s="1" t="s">
        <v>12</v>
      </c>
      <c r="G43" s="125">
        <v>100</v>
      </c>
      <c r="H43" s="1">
        <v>390</v>
      </c>
      <c r="I43" s="125">
        <v>100</v>
      </c>
      <c r="J43" s="1">
        <f t="shared" si="0"/>
        <v>39000</v>
      </c>
      <c r="K43" s="33">
        <f t="shared" si="1"/>
        <v>5850</v>
      </c>
      <c r="L43" s="34">
        <f t="shared" si="2"/>
        <v>44850</v>
      </c>
      <c r="M43" s="34"/>
      <c r="N43" s="34"/>
      <c r="O43" s="128"/>
    </row>
    <row r="44" spans="1:15" ht="15.6" x14ac:dyDescent="0.3">
      <c r="A44" s="2">
        <v>45998</v>
      </c>
      <c r="B44" s="2"/>
      <c r="C44" s="132">
        <v>2132</v>
      </c>
      <c r="D44" s="131" t="s">
        <v>161</v>
      </c>
      <c r="E44" s="131" t="s">
        <v>166</v>
      </c>
      <c r="F44" s="1" t="s">
        <v>12</v>
      </c>
      <c r="G44" s="125">
        <v>180</v>
      </c>
      <c r="H44" s="1">
        <v>390</v>
      </c>
      <c r="I44" s="125">
        <v>180</v>
      </c>
      <c r="J44" s="1">
        <f t="shared" si="0"/>
        <v>70200</v>
      </c>
      <c r="K44" s="33">
        <f t="shared" si="1"/>
        <v>10530</v>
      </c>
      <c r="L44" s="34">
        <f t="shared" si="2"/>
        <v>80730</v>
      </c>
      <c r="M44" s="34"/>
      <c r="N44" s="34"/>
      <c r="O44" s="128"/>
    </row>
    <row r="45" spans="1:15" ht="15.6" x14ac:dyDescent="0.3">
      <c r="A45" s="2">
        <v>45998</v>
      </c>
      <c r="B45" s="2"/>
      <c r="C45" s="132">
        <v>2132</v>
      </c>
      <c r="D45" s="131" t="s">
        <v>161</v>
      </c>
      <c r="E45" s="131" t="s">
        <v>167</v>
      </c>
      <c r="F45" s="1" t="s">
        <v>12</v>
      </c>
      <c r="G45" s="125">
        <v>113</v>
      </c>
      <c r="H45" s="1">
        <v>390</v>
      </c>
      <c r="I45" s="125">
        <v>113</v>
      </c>
      <c r="J45" s="1">
        <f t="shared" si="0"/>
        <v>44070</v>
      </c>
      <c r="K45" s="33">
        <f t="shared" si="1"/>
        <v>6610.5</v>
      </c>
      <c r="L45" s="34">
        <f t="shared" si="2"/>
        <v>50680.5</v>
      </c>
      <c r="M45" s="34"/>
      <c r="N45" s="34"/>
      <c r="O45" s="128"/>
    </row>
    <row r="46" spans="1:15" ht="15.6" x14ac:dyDescent="0.3">
      <c r="A46" s="2">
        <v>46004</v>
      </c>
      <c r="B46" s="2"/>
      <c r="C46" s="132">
        <v>2204</v>
      </c>
      <c r="D46" s="74" t="s">
        <v>161</v>
      </c>
      <c r="E46" s="74" t="s">
        <v>156</v>
      </c>
      <c r="F46" s="74" t="s">
        <v>12</v>
      </c>
      <c r="G46" s="74">
        <v>120</v>
      </c>
      <c r="H46" s="74">
        <v>400</v>
      </c>
      <c r="I46" s="74">
        <v>120</v>
      </c>
      <c r="J46" s="74">
        <f t="shared" si="0"/>
        <v>48000</v>
      </c>
      <c r="K46" s="141">
        <f t="shared" si="1"/>
        <v>7200</v>
      </c>
      <c r="L46" s="109">
        <f t="shared" si="2"/>
        <v>55200</v>
      </c>
      <c r="M46" s="109"/>
      <c r="N46" s="34"/>
      <c r="O46" s="128"/>
    </row>
    <row r="47" spans="1:15" ht="15.6" x14ac:dyDescent="0.3">
      <c r="A47" s="2">
        <v>46004</v>
      </c>
      <c r="B47" s="2"/>
      <c r="C47" s="132">
        <v>2204</v>
      </c>
      <c r="D47" s="74" t="s">
        <v>161</v>
      </c>
      <c r="E47" s="74" t="s">
        <v>165</v>
      </c>
      <c r="F47" s="74" t="s">
        <v>12</v>
      </c>
      <c r="G47" s="74">
        <v>100</v>
      </c>
      <c r="H47" s="74">
        <v>400</v>
      </c>
      <c r="I47" s="74">
        <v>100</v>
      </c>
      <c r="J47" s="74">
        <f t="shared" si="0"/>
        <v>40000</v>
      </c>
      <c r="K47" s="141">
        <f t="shared" si="1"/>
        <v>6000</v>
      </c>
      <c r="L47" s="109">
        <f t="shared" si="2"/>
        <v>46000</v>
      </c>
      <c r="M47" s="109"/>
      <c r="N47" s="34"/>
      <c r="O47" s="128"/>
    </row>
    <row r="48" spans="1:15" ht="15.6" x14ac:dyDescent="0.3">
      <c r="A48" s="2">
        <v>46004</v>
      </c>
      <c r="B48" s="2"/>
      <c r="C48" s="132">
        <v>2204</v>
      </c>
      <c r="D48" s="74" t="s">
        <v>161</v>
      </c>
      <c r="E48" s="74" t="s">
        <v>166</v>
      </c>
      <c r="F48" s="74" t="s">
        <v>12</v>
      </c>
      <c r="G48" s="74">
        <v>180</v>
      </c>
      <c r="H48" s="74">
        <v>400</v>
      </c>
      <c r="I48" s="74">
        <v>180</v>
      </c>
      <c r="J48" s="74">
        <f t="shared" si="0"/>
        <v>72000</v>
      </c>
      <c r="K48" s="141">
        <f t="shared" si="1"/>
        <v>10800</v>
      </c>
      <c r="L48" s="109">
        <f t="shared" si="2"/>
        <v>82800</v>
      </c>
      <c r="M48" s="109"/>
      <c r="N48" s="34"/>
      <c r="O48" s="128"/>
    </row>
    <row r="49" spans="1:16" ht="15.6" x14ac:dyDescent="0.3">
      <c r="A49" s="2">
        <v>46004</v>
      </c>
      <c r="B49" s="2"/>
      <c r="C49" s="132">
        <v>2204</v>
      </c>
      <c r="D49" s="74" t="s">
        <v>161</v>
      </c>
      <c r="E49" s="74" t="s">
        <v>167</v>
      </c>
      <c r="F49" s="74" t="s">
        <v>12</v>
      </c>
      <c r="G49" s="74">
        <v>113</v>
      </c>
      <c r="H49" s="74">
        <v>400</v>
      </c>
      <c r="I49" s="74">
        <v>113</v>
      </c>
      <c r="J49" s="74">
        <f t="shared" si="0"/>
        <v>45200</v>
      </c>
      <c r="K49" s="141">
        <f t="shared" si="1"/>
        <v>6780</v>
      </c>
      <c r="L49" s="109">
        <f t="shared" si="2"/>
        <v>51980</v>
      </c>
      <c r="M49" s="109"/>
      <c r="N49" s="34"/>
      <c r="O49" s="128"/>
    </row>
    <row r="50" spans="1:16" ht="15.6" x14ac:dyDescent="0.3">
      <c r="A50" s="2">
        <v>46004</v>
      </c>
      <c r="B50" s="2"/>
      <c r="C50" s="132">
        <v>2204</v>
      </c>
      <c r="D50" s="74" t="s">
        <v>161</v>
      </c>
      <c r="E50" s="74" t="s">
        <v>211</v>
      </c>
      <c r="F50" s="74" t="s">
        <v>12</v>
      </c>
      <c r="G50" s="74">
        <v>30</v>
      </c>
      <c r="H50" s="74">
        <v>540</v>
      </c>
      <c r="I50" s="74">
        <v>30</v>
      </c>
      <c r="J50" s="74">
        <f t="shared" si="0"/>
        <v>16200</v>
      </c>
      <c r="K50" s="141">
        <f t="shared" si="1"/>
        <v>2430</v>
      </c>
      <c r="L50" s="109">
        <f t="shared" si="2"/>
        <v>18630</v>
      </c>
      <c r="M50" s="109"/>
      <c r="N50" s="34"/>
      <c r="O50" s="128"/>
    </row>
    <row r="51" spans="1:16" ht="15.6" x14ac:dyDescent="0.3">
      <c r="A51" s="2">
        <v>46004</v>
      </c>
      <c r="B51" s="2"/>
      <c r="C51" s="132">
        <v>416</v>
      </c>
      <c r="D51" s="1" t="s">
        <v>172</v>
      </c>
      <c r="E51" s="1" t="s">
        <v>156</v>
      </c>
      <c r="F51" s="1" t="s">
        <v>12</v>
      </c>
      <c r="G51" s="1">
        <v>179</v>
      </c>
      <c r="H51" s="1">
        <v>405</v>
      </c>
      <c r="I51" s="1">
        <v>179</v>
      </c>
      <c r="J51" s="1">
        <f t="shared" si="0"/>
        <v>72495</v>
      </c>
      <c r="K51" s="33">
        <f t="shared" si="1"/>
        <v>10874.25</v>
      </c>
      <c r="L51" s="34">
        <f t="shared" si="2"/>
        <v>83369.25</v>
      </c>
      <c r="M51" s="34"/>
      <c r="N51" s="34"/>
      <c r="O51" s="128"/>
    </row>
    <row r="52" spans="1:16" ht="15.6" x14ac:dyDescent="0.3">
      <c r="A52" s="2">
        <v>46004</v>
      </c>
      <c r="B52" s="2"/>
      <c r="C52" s="132">
        <v>416</v>
      </c>
      <c r="D52" s="1" t="s">
        <v>172</v>
      </c>
      <c r="E52" s="1" t="s">
        <v>166</v>
      </c>
      <c r="F52" s="1" t="s">
        <v>12</v>
      </c>
      <c r="G52" s="1">
        <v>200</v>
      </c>
      <c r="H52" s="1">
        <v>405</v>
      </c>
      <c r="I52" s="1">
        <v>200</v>
      </c>
      <c r="J52" s="1">
        <f t="shared" si="0"/>
        <v>81000</v>
      </c>
      <c r="K52" s="33">
        <f t="shared" si="1"/>
        <v>12150</v>
      </c>
      <c r="L52" s="34">
        <f t="shared" si="2"/>
        <v>93150</v>
      </c>
      <c r="M52" s="34"/>
      <c r="N52" s="34"/>
      <c r="O52" s="128"/>
    </row>
    <row r="53" spans="1:16" ht="15.6" x14ac:dyDescent="0.3">
      <c r="A53" s="2">
        <v>46004</v>
      </c>
      <c r="B53" s="2"/>
      <c r="C53" s="132">
        <v>416</v>
      </c>
      <c r="D53" s="1" t="s">
        <v>172</v>
      </c>
      <c r="E53" s="1" t="s">
        <v>165</v>
      </c>
      <c r="F53" s="1" t="s">
        <v>12</v>
      </c>
      <c r="G53" s="1">
        <v>133</v>
      </c>
      <c r="H53" s="1">
        <v>405</v>
      </c>
      <c r="I53" s="1">
        <v>133</v>
      </c>
      <c r="J53" s="1">
        <f t="shared" si="0"/>
        <v>53865</v>
      </c>
      <c r="K53" s="33">
        <f t="shared" si="1"/>
        <v>8079.75</v>
      </c>
      <c r="L53" s="34">
        <f t="shared" si="2"/>
        <v>61944.75</v>
      </c>
      <c r="M53" s="34"/>
      <c r="N53" s="34"/>
      <c r="O53" s="128"/>
    </row>
    <row r="54" spans="1:16" ht="15.6" x14ac:dyDescent="0.3">
      <c r="A54" s="2">
        <v>46004</v>
      </c>
      <c r="B54" s="2"/>
      <c r="C54" s="132">
        <v>416</v>
      </c>
      <c r="D54" s="1" t="s">
        <v>172</v>
      </c>
      <c r="E54" s="1" t="s">
        <v>167</v>
      </c>
      <c r="F54" s="1" t="s">
        <v>12</v>
      </c>
      <c r="G54" s="1">
        <v>107</v>
      </c>
      <c r="H54" s="1">
        <v>405</v>
      </c>
      <c r="I54" s="1">
        <v>107</v>
      </c>
      <c r="J54" s="1">
        <f t="shared" si="0"/>
        <v>43335</v>
      </c>
      <c r="K54" s="33">
        <f t="shared" si="1"/>
        <v>6500.25</v>
      </c>
      <c r="L54" s="34">
        <f t="shared" si="2"/>
        <v>49835.25</v>
      </c>
      <c r="M54" s="34"/>
      <c r="N54" s="34"/>
      <c r="O54" s="128"/>
    </row>
    <row r="55" spans="1:16" ht="15.6" x14ac:dyDescent="0.3">
      <c r="A55" s="2">
        <v>46004</v>
      </c>
      <c r="B55" s="2"/>
      <c r="C55" s="132">
        <v>416</v>
      </c>
      <c r="D55" s="1" t="s">
        <v>172</v>
      </c>
      <c r="E55" s="1" t="s">
        <v>173</v>
      </c>
      <c r="F55" s="1" t="s">
        <v>21</v>
      </c>
      <c r="G55" s="1">
        <v>250</v>
      </c>
      <c r="H55" s="1">
        <v>19.5</v>
      </c>
      <c r="I55" s="1">
        <v>5438.48</v>
      </c>
      <c r="J55" s="1">
        <f t="shared" si="0"/>
        <v>106050.35999999999</v>
      </c>
      <c r="K55" s="33">
        <f t="shared" si="1"/>
        <v>15907.553999999996</v>
      </c>
      <c r="L55" s="34">
        <f t="shared" si="2"/>
        <v>121957.91399999999</v>
      </c>
      <c r="M55" s="34"/>
      <c r="N55" s="34"/>
      <c r="O55" s="128"/>
    </row>
    <row r="56" spans="1:16" ht="15.6" x14ac:dyDescent="0.3">
      <c r="A56" s="2">
        <v>46006</v>
      </c>
      <c r="B56" s="2" t="s">
        <v>206</v>
      </c>
      <c r="C56" s="132">
        <v>335</v>
      </c>
      <c r="D56" s="1" t="s">
        <v>177</v>
      </c>
      <c r="E56" s="1" t="s">
        <v>178</v>
      </c>
      <c r="F56" s="1" t="s">
        <v>12</v>
      </c>
      <c r="G56" s="1">
        <v>30</v>
      </c>
      <c r="H56" s="1">
        <v>747</v>
      </c>
      <c r="I56" s="1">
        <v>30</v>
      </c>
      <c r="J56" s="1">
        <f t="shared" si="0"/>
        <v>22410</v>
      </c>
      <c r="K56" s="33">
        <f t="shared" si="1"/>
        <v>3361.5</v>
      </c>
      <c r="L56" s="34">
        <f t="shared" si="2"/>
        <v>25771.5</v>
      </c>
      <c r="M56" s="34"/>
      <c r="N56" s="34"/>
      <c r="O56" s="128"/>
    </row>
    <row r="57" spans="1:16" ht="15.6" x14ac:dyDescent="0.3">
      <c r="A57" s="2">
        <v>46006</v>
      </c>
      <c r="B57" s="110" t="s">
        <v>206</v>
      </c>
      <c r="C57" s="132">
        <v>8202</v>
      </c>
      <c r="D57" s="1" t="s">
        <v>193</v>
      </c>
      <c r="E57" s="1" t="s">
        <v>121</v>
      </c>
      <c r="F57" s="1" t="s">
        <v>12</v>
      </c>
      <c r="G57" s="1">
        <v>120</v>
      </c>
      <c r="H57" s="1">
        <v>42</v>
      </c>
      <c r="I57" s="1">
        <v>120</v>
      </c>
      <c r="J57" s="1">
        <f t="shared" si="0"/>
        <v>5040</v>
      </c>
      <c r="K57" s="33">
        <f t="shared" si="1"/>
        <v>756</v>
      </c>
      <c r="L57" s="34">
        <f t="shared" si="2"/>
        <v>5796</v>
      </c>
      <c r="M57" s="34"/>
      <c r="N57" s="34"/>
      <c r="O57" s="128"/>
    </row>
    <row r="58" spans="1:16" ht="15.6" x14ac:dyDescent="0.3">
      <c r="A58" s="2">
        <v>46012</v>
      </c>
      <c r="B58" s="2" t="s">
        <v>206</v>
      </c>
      <c r="C58" s="1">
        <v>172</v>
      </c>
      <c r="D58" s="1" t="s">
        <v>184</v>
      </c>
      <c r="E58" s="1" t="s">
        <v>185</v>
      </c>
      <c r="F58" s="1" t="s">
        <v>12</v>
      </c>
      <c r="G58" s="1">
        <v>5</v>
      </c>
      <c r="H58" s="1">
        <v>52</v>
      </c>
      <c r="I58" s="1">
        <v>5</v>
      </c>
      <c r="J58" s="1">
        <f t="shared" si="0"/>
        <v>260</v>
      </c>
      <c r="K58" s="33">
        <f t="shared" si="1"/>
        <v>39</v>
      </c>
      <c r="L58" s="34">
        <f t="shared" si="2"/>
        <v>299</v>
      </c>
      <c r="M58" s="34"/>
      <c r="N58" s="34"/>
      <c r="O58" s="128"/>
    </row>
    <row r="59" spans="1:16" ht="15.6" x14ac:dyDescent="0.3">
      <c r="A59" s="2">
        <v>46012</v>
      </c>
      <c r="B59" s="2" t="s">
        <v>206</v>
      </c>
      <c r="C59" s="132">
        <v>3</v>
      </c>
      <c r="D59" s="1" t="s">
        <v>186</v>
      </c>
      <c r="E59" s="1" t="s">
        <v>11</v>
      </c>
      <c r="F59" s="1" t="s">
        <v>12</v>
      </c>
      <c r="G59" s="1">
        <v>50</v>
      </c>
      <c r="H59" s="1">
        <v>168</v>
      </c>
      <c r="I59" s="1">
        <v>50</v>
      </c>
      <c r="J59" s="1">
        <f t="shared" si="0"/>
        <v>8400</v>
      </c>
      <c r="K59" s="33">
        <f t="shared" si="1"/>
        <v>1260</v>
      </c>
      <c r="L59" s="34">
        <f t="shared" si="2"/>
        <v>9660</v>
      </c>
      <c r="M59" s="34"/>
      <c r="N59" s="34"/>
      <c r="O59" s="128"/>
      <c r="P59" s="10"/>
    </row>
    <row r="60" spans="1:16" ht="15.6" x14ac:dyDescent="0.3">
      <c r="A60" s="2">
        <v>46012</v>
      </c>
      <c r="B60" s="2" t="s">
        <v>206</v>
      </c>
      <c r="C60" s="132">
        <v>2151</v>
      </c>
      <c r="D60" s="1" t="s">
        <v>41</v>
      </c>
      <c r="E60" s="1" t="s">
        <v>191</v>
      </c>
      <c r="F60" s="1" t="s">
        <v>12</v>
      </c>
      <c r="G60" s="1">
        <v>30</v>
      </c>
      <c r="H60" s="1">
        <v>747</v>
      </c>
      <c r="I60" s="1">
        <v>30</v>
      </c>
      <c r="J60" s="1">
        <f t="shared" si="0"/>
        <v>22410</v>
      </c>
      <c r="K60" s="33">
        <f t="shared" si="1"/>
        <v>3361.5</v>
      </c>
      <c r="L60" s="34">
        <f t="shared" si="2"/>
        <v>25771.5</v>
      </c>
      <c r="M60" s="34"/>
      <c r="N60" s="34"/>
      <c r="O60" s="128"/>
    </row>
    <row r="61" spans="1:16" ht="15.6" x14ac:dyDescent="0.3">
      <c r="A61" s="2">
        <v>46012</v>
      </c>
      <c r="B61" s="2" t="s">
        <v>206</v>
      </c>
      <c r="C61" s="132">
        <v>8226</v>
      </c>
      <c r="D61" s="1" t="s">
        <v>193</v>
      </c>
      <c r="E61" s="1" t="s">
        <v>121</v>
      </c>
      <c r="F61" s="1" t="s">
        <v>12</v>
      </c>
      <c r="G61" s="1">
        <v>100</v>
      </c>
      <c r="H61" s="1">
        <v>42</v>
      </c>
      <c r="I61" s="1">
        <v>100</v>
      </c>
      <c r="J61" s="1">
        <f t="shared" si="0"/>
        <v>4200</v>
      </c>
      <c r="K61" s="33">
        <f t="shared" si="1"/>
        <v>630</v>
      </c>
      <c r="L61" s="34">
        <f t="shared" si="2"/>
        <v>4830</v>
      </c>
      <c r="M61" s="34"/>
      <c r="N61" s="34"/>
      <c r="O61" s="128"/>
    </row>
    <row r="62" spans="1:16" ht="15.6" x14ac:dyDescent="0.3">
      <c r="A62" s="2">
        <v>46015</v>
      </c>
      <c r="B62" s="2" t="s">
        <v>206</v>
      </c>
      <c r="C62" s="1">
        <v>40920</v>
      </c>
      <c r="D62" s="1" t="s">
        <v>29</v>
      </c>
      <c r="E62" s="1" t="s">
        <v>57</v>
      </c>
      <c r="F62" s="1" t="s">
        <v>21</v>
      </c>
      <c r="G62" s="1">
        <v>13</v>
      </c>
      <c r="H62" s="1">
        <v>24.65</v>
      </c>
      <c r="I62" s="1">
        <v>302.25</v>
      </c>
      <c r="J62" s="1">
        <f t="shared" si="0"/>
        <v>7450.4624999999996</v>
      </c>
      <c r="K62" s="33">
        <f t="shared" si="1"/>
        <v>1117.5693749999998</v>
      </c>
      <c r="L62" s="34">
        <f t="shared" si="2"/>
        <v>8568.0318749999988</v>
      </c>
      <c r="M62" s="34"/>
      <c r="N62" s="34"/>
      <c r="O62" s="128"/>
    </row>
    <row r="63" spans="1:16" ht="15.6" x14ac:dyDescent="0.3">
      <c r="A63" s="2">
        <v>46019</v>
      </c>
      <c r="B63" s="2"/>
      <c r="C63" s="132">
        <v>523</v>
      </c>
      <c r="D63" s="1" t="s">
        <v>172</v>
      </c>
      <c r="E63" s="1" t="s">
        <v>152</v>
      </c>
      <c r="F63" s="1" t="s">
        <v>12</v>
      </c>
      <c r="G63" s="1">
        <v>914</v>
      </c>
      <c r="H63" s="1">
        <v>275</v>
      </c>
      <c r="I63" s="1">
        <v>914</v>
      </c>
      <c r="J63" s="1">
        <f t="shared" si="0"/>
        <v>251350</v>
      </c>
      <c r="K63" s="33">
        <f t="shared" si="1"/>
        <v>37702.5</v>
      </c>
      <c r="L63" s="34">
        <f t="shared" si="2"/>
        <v>289052.5</v>
      </c>
      <c r="M63" s="34"/>
      <c r="N63" s="34"/>
      <c r="O63" s="128"/>
    </row>
    <row r="64" spans="1:16" ht="15.6" x14ac:dyDescent="0.3">
      <c r="A64" s="2">
        <v>46019</v>
      </c>
      <c r="B64" s="2"/>
      <c r="C64" s="132">
        <v>523</v>
      </c>
      <c r="D64" s="1" t="s">
        <v>172</v>
      </c>
      <c r="E64" s="1" t="s">
        <v>187</v>
      </c>
      <c r="F64" s="1" t="s">
        <v>12</v>
      </c>
      <c r="G64" s="1">
        <v>570</v>
      </c>
      <c r="H64" s="1">
        <v>315</v>
      </c>
      <c r="I64" s="1">
        <v>570</v>
      </c>
      <c r="J64" s="1">
        <f t="shared" si="0"/>
        <v>179550</v>
      </c>
      <c r="K64" s="33">
        <f t="shared" si="1"/>
        <v>26932.5</v>
      </c>
      <c r="L64" s="34">
        <f t="shared" si="2"/>
        <v>206482.5</v>
      </c>
      <c r="M64" s="34"/>
      <c r="N64" s="34"/>
      <c r="O64" s="128"/>
    </row>
    <row r="65" spans="1:16" ht="15.6" x14ac:dyDescent="0.3">
      <c r="A65" s="2">
        <v>46019</v>
      </c>
      <c r="B65" s="2"/>
      <c r="C65" s="132">
        <v>523</v>
      </c>
      <c r="D65" s="1" t="s">
        <v>172</v>
      </c>
      <c r="E65" s="1" t="s">
        <v>188</v>
      </c>
      <c r="F65" s="1" t="s">
        <v>12</v>
      </c>
      <c r="G65" s="1">
        <v>31</v>
      </c>
      <c r="H65" s="1">
        <v>612</v>
      </c>
      <c r="I65" s="1">
        <v>31</v>
      </c>
      <c r="J65" s="1">
        <f t="shared" si="0"/>
        <v>18972</v>
      </c>
      <c r="K65" s="33">
        <f t="shared" si="1"/>
        <v>2845.7999999999997</v>
      </c>
      <c r="L65" s="34">
        <f t="shared" si="2"/>
        <v>21817.8</v>
      </c>
      <c r="M65" s="34"/>
      <c r="N65" s="34"/>
      <c r="O65" s="128"/>
    </row>
    <row r="66" spans="1:16" ht="15.6" x14ac:dyDescent="0.3">
      <c r="A66" s="2">
        <v>46019</v>
      </c>
      <c r="B66" s="110" t="s">
        <v>206</v>
      </c>
      <c r="C66" s="132">
        <v>41055</v>
      </c>
      <c r="D66" s="1" t="s">
        <v>29</v>
      </c>
      <c r="E66" s="1" t="s">
        <v>57</v>
      </c>
      <c r="F66" s="1" t="s">
        <v>21</v>
      </c>
      <c r="G66" s="1">
        <v>17</v>
      </c>
      <c r="H66" s="1">
        <v>24.65</v>
      </c>
      <c r="I66" s="1">
        <v>373.88</v>
      </c>
      <c r="J66" s="1">
        <f t="shared" si="0"/>
        <v>9216.1419999999998</v>
      </c>
      <c r="K66" s="33">
        <f t="shared" si="1"/>
        <v>1382.4213</v>
      </c>
      <c r="L66" s="34">
        <f t="shared" si="2"/>
        <v>10598.5633</v>
      </c>
      <c r="M66" s="34"/>
      <c r="N66" s="34"/>
      <c r="O66" s="128"/>
    </row>
    <row r="67" spans="1:16" ht="15.6" x14ac:dyDescent="0.3">
      <c r="A67" s="2">
        <v>46020</v>
      </c>
      <c r="B67" s="110" t="s">
        <v>206</v>
      </c>
      <c r="C67" s="132">
        <v>41095</v>
      </c>
      <c r="D67" s="1" t="s">
        <v>29</v>
      </c>
      <c r="E67" s="1" t="s">
        <v>57</v>
      </c>
      <c r="F67" s="1" t="s">
        <v>21</v>
      </c>
      <c r="G67" s="1">
        <v>8</v>
      </c>
      <c r="H67" s="1">
        <v>24.65</v>
      </c>
      <c r="I67" s="1">
        <v>188.39</v>
      </c>
      <c r="J67" s="1">
        <f t="shared" si="0"/>
        <v>4643.8134999999993</v>
      </c>
      <c r="K67" s="33">
        <f t="shared" si="1"/>
        <v>696.57202499999983</v>
      </c>
      <c r="L67" s="34">
        <f t="shared" si="2"/>
        <v>5340.3855249999988</v>
      </c>
      <c r="M67" s="34"/>
      <c r="N67" s="34"/>
      <c r="O67" s="128"/>
    </row>
    <row r="68" spans="1:16" ht="15.6" x14ac:dyDescent="0.3">
      <c r="A68" s="2">
        <v>46020</v>
      </c>
      <c r="B68" s="110" t="s">
        <v>206</v>
      </c>
      <c r="C68" s="132">
        <v>8254</v>
      </c>
      <c r="D68" s="1" t="s">
        <v>193</v>
      </c>
      <c r="E68" s="1" t="s">
        <v>121</v>
      </c>
      <c r="F68" s="1" t="s">
        <v>12</v>
      </c>
      <c r="G68" s="1">
        <v>25</v>
      </c>
      <c r="H68" s="1">
        <v>42</v>
      </c>
      <c r="I68" s="1">
        <v>25</v>
      </c>
      <c r="J68" s="1">
        <f t="shared" si="0"/>
        <v>1050</v>
      </c>
      <c r="K68" s="33">
        <f t="shared" si="1"/>
        <v>157.5</v>
      </c>
      <c r="L68" s="34">
        <f t="shared" si="2"/>
        <v>1207.5</v>
      </c>
      <c r="M68" s="34"/>
      <c r="N68" s="34"/>
      <c r="O68" s="128"/>
    </row>
    <row r="69" spans="1:16" ht="15.6" x14ac:dyDescent="0.3">
      <c r="A69" s="2">
        <v>46020</v>
      </c>
      <c r="B69" s="110" t="s">
        <v>206</v>
      </c>
      <c r="C69" s="132">
        <v>14110</v>
      </c>
      <c r="D69" s="1" t="s">
        <v>159</v>
      </c>
      <c r="E69" s="1" t="s">
        <v>11</v>
      </c>
      <c r="F69" s="1" t="s">
        <v>12</v>
      </c>
      <c r="G69" s="1">
        <v>200</v>
      </c>
      <c r="H69" s="1">
        <v>166</v>
      </c>
      <c r="I69" s="1">
        <v>200</v>
      </c>
      <c r="J69" s="1">
        <f t="shared" si="0"/>
        <v>33200</v>
      </c>
      <c r="K69" s="33">
        <f t="shared" si="1"/>
        <v>4980</v>
      </c>
      <c r="L69" s="34">
        <f t="shared" si="2"/>
        <v>38180</v>
      </c>
      <c r="M69" s="34"/>
      <c r="N69" s="34"/>
      <c r="O69" s="128"/>
      <c r="P69" s="10"/>
    </row>
    <row r="70" spans="1:16" ht="15.6" x14ac:dyDescent="0.3">
      <c r="A70" s="2">
        <v>46021</v>
      </c>
      <c r="B70" s="110" t="s">
        <v>206</v>
      </c>
      <c r="C70" s="132">
        <v>222</v>
      </c>
      <c r="D70" s="1" t="s">
        <v>27</v>
      </c>
      <c r="E70" s="1" t="s">
        <v>204</v>
      </c>
      <c r="F70" s="1" t="s">
        <v>12</v>
      </c>
      <c r="G70" s="1">
        <v>10</v>
      </c>
      <c r="H70" s="1">
        <v>738</v>
      </c>
      <c r="I70" s="1">
        <v>10</v>
      </c>
      <c r="J70" s="1">
        <f t="shared" si="0"/>
        <v>7380</v>
      </c>
      <c r="K70" s="33">
        <f t="shared" si="1"/>
        <v>1107</v>
      </c>
      <c r="L70" s="34">
        <f t="shared" si="2"/>
        <v>8487</v>
      </c>
      <c r="M70" s="34"/>
      <c r="N70" s="34"/>
      <c r="O70" s="128"/>
    </row>
    <row r="71" spans="1:16" ht="15.6" x14ac:dyDescent="0.3">
      <c r="A71" s="2">
        <v>46021</v>
      </c>
      <c r="B71" s="2" t="s">
        <v>206</v>
      </c>
      <c r="C71" s="132">
        <v>41126</v>
      </c>
      <c r="D71" s="1" t="s">
        <v>29</v>
      </c>
      <c r="E71" s="1" t="s">
        <v>57</v>
      </c>
      <c r="F71" s="1" t="s">
        <v>21</v>
      </c>
      <c r="G71" s="1">
        <v>18</v>
      </c>
      <c r="H71" s="1">
        <v>24.65</v>
      </c>
      <c r="I71" s="1">
        <v>435.04</v>
      </c>
      <c r="J71" s="1">
        <f t="shared" si="0"/>
        <v>10723.736000000001</v>
      </c>
      <c r="K71" s="33">
        <f t="shared" si="1"/>
        <v>1608.5604000000001</v>
      </c>
      <c r="L71" s="34">
        <f t="shared" si="2"/>
        <v>12332.296400000001</v>
      </c>
      <c r="M71" s="34"/>
      <c r="N71" s="34"/>
      <c r="O71" s="128"/>
    </row>
    <row r="72" spans="1:16" ht="15.6" x14ac:dyDescent="0.3">
      <c r="A72" s="2">
        <v>46022</v>
      </c>
      <c r="B72" s="2" t="s">
        <v>206</v>
      </c>
      <c r="C72" s="132">
        <v>41168</v>
      </c>
      <c r="D72" s="1" t="s">
        <v>29</v>
      </c>
      <c r="E72" s="1" t="s">
        <v>57</v>
      </c>
      <c r="F72" s="1" t="s">
        <v>21</v>
      </c>
      <c r="G72" s="1">
        <v>14</v>
      </c>
      <c r="H72" s="1">
        <v>24.65</v>
      </c>
      <c r="I72" s="1">
        <v>328.62</v>
      </c>
      <c r="J72" s="1">
        <f t="shared" si="0"/>
        <v>8100.4829999999993</v>
      </c>
      <c r="K72" s="33">
        <f t="shared" si="1"/>
        <v>1215.0724499999999</v>
      </c>
      <c r="L72" s="34">
        <f t="shared" si="2"/>
        <v>9315.5554499999998</v>
      </c>
      <c r="M72" s="34"/>
      <c r="N72" s="34"/>
      <c r="O72" s="128"/>
    </row>
    <row r="73" spans="1:16" x14ac:dyDescent="0.3">
      <c r="A73" s="2"/>
      <c r="B73" s="2"/>
      <c r="C73" s="1"/>
      <c r="D73" s="1"/>
      <c r="E73" s="1"/>
      <c r="F73" s="1"/>
      <c r="G73" s="1"/>
      <c r="H73" s="1"/>
      <c r="I73" s="1"/>
      <c r="J73" s="1">
        <f t="shared" si="0"/>
        <v>0</v>
      </c>
      <c r="K73" s="33">
        <f t="shared" si="1"/>
        <v>0</v>
      </c>
      <c r="L73" s="34">
        <f t="shared" si="2"/>
        <v>0</v>
      </c>
      <c r="M73" s="34"/>
      <c r="N73" s="34"/>
    </row>
    <row r="74" spans="1:16" x14ac:dyDescent="0.3">
      <c r="A74" s="2"/>
      <c r="B74" s="2"/>
      <c r="C74" s="1"/>
      <c r="D74" s="1"/>
      <c r="E74" s="1"/>
      <c r="F74" s="1"/>
      <c r="G74" s="1"/>
      <c r="H74" s="1"/>
      <c r="I74" s="1"/>
      <c r="J74" s="1">
        <f t="shared" si="0"/>
        <v>0</v>
      </c>
      <c r="K74" s="33">
        <f t="shared" si="1"/>
        <v>0</v>
      </c>
      <c r="L74" s="34">
        <f t="shared" si="2"/>
        <v>0</v>
      </c>
      <c r="M74" s="34"/>
      <c r="N74" s="34"/>
    </row>
    <row r="75" spans="1:16" x14ac:dyDescent="0.3">
      <c r="A75" s="2"/>
      <c r="B75" s="2"/>
      <c r="C75" s="1"/>
      <c r="D75" s="1"/>
      <c r="E75" s="1"/>
      <c r="F75" s="1"/>
      <c r="G75" s="1"/>
      <c r="H75" s="1"/>
      <c r="I75" s="1"/>
      <c r="J75" s="1">
        <f t="shared" si="0"/>
        <v>0</v>
      </c>
      <c r="K75" s="33">
        <f t="shared" si="1"/>
        <v>0</v>
      </c>
      <c r="L75" s="34">
        <f t="shared" si="2"/>
        <v>0</v>
      </c>
      <c r="M75" s="34"/>
      <c r="N75" s="34">
        <f t="shared" ref="N4:N75" si="3">L75-M75</f>
        <v>0</v>
      </c>
    </row>
    <row r="76" spans="1:16" x14ac:dyDescent="0.3">
      <c r="A76" s="2"/>
      <c r="B76" s="2"/>
      <c r="C76" s="1"/>
      <c r="D76" s="1"/>
      <c r="E76" s="1"/>
      <c r="F76" s="1"/>
      <c r="G76" s="1"/>
      <c r="H76" s="1"/>
      <c r="I76" s="109">
        <f>SUBTOTAL(9,I3:I75)</f>
        <v>64642.640000000007</v>
      </c>
      <c r="J76" s="109">
        <f>SUBTOTAL(9,J3:J75)</f>
        <v>6609569.557000001</v>
      </c>
      <c r="K76" s="109">
        <f>SUBTOTAL(9,K3:K75)</f>
        <v>991435.43355000007</v>
      </c>
      <c r="L76" s="109">
        <f>SUBTOTAL(9,L3:L75)</f>
        <v>7601004.9905500002</v>
      </c>
      <c r="M76" s="109">
        <f>SUBTOTAL(9,M3:M75)</f>
        <v>0</v>
      </c>
      <c r="N76" s="34">
        <f>SUM(N3:N75)</f>
        <v>0</v>
      </c>
    </row>
    <row r="78" spans="1:16" x14ac:dyDescent="0.3">
      <c r="J78">
        <f>J76/I76</f>
        <v>102.24782832198686</v>
      </c>
      <c r="K78" t="s">
        <v>210</v>
      </c>
    </row>
    <row r="83" spans="5:9" x14ac:dyDescent="0.3">
      <c r="E83">
        <v>73600</v>
      </c>
    </row>
    <row r="84" spans="5:9" x14ac:dyDescent="0.3">
      <c r="E84">
        <v>32400</v>
      </c>
      <c r="I84">
        <v>177.33</v>
      </c>
    </row>
    <row r="85" spans="5:9" x14ac:dyDescent="0.3">
      <c r="E85">
        <v>391200</v>
      </c>
      <c r="I85">
        <v>59.68</v>
      </c>
    </row>
    <row r="86" spans="5:9" x14ac:dyDescent="0.3">
      <c r="E86">
        <v>90188</v>
      </c>
      <c r="I86">
        <v>296.8</v>
      </c>
    </row>
    <row r="87" spans="5:9" x14ac:dyDescent="0.3">
      <c r="E87">
        <v>331100</v>
      </c>
    </row>
    <row r="88" spans="5:9" x14ac:dyDescent="0.3">
      <c r="E88">
        <v>161214</v>
      </c>
    </row>
    <row r="89" spans="5:9" x14ac:dyDescent="0.3">
      <c r="E89">
        <v>83398</v>
      </c>
    </row>
    <row r="90" spans="5:9" x14ac:dyDescent="0.3">
      <c r="E90">
        <v>167475</v>
      </c>
    </row>
    <row r="91" spans="5:9" x14ac:dyDescent="0.3">
      <c r="E91">
        <v>67275</v>
      </c>
    </row>
    <row r="92" spans="5:9" x14ac:dyDescent="0.3">
      <c r="E92">
        <v>15750</v>
      </c>
    </row>
    <row r="93" spans="5:9" x14ac:dyDescent="0.3">
      <c r="E93">
        <v>51880</v>
      </c>
    </row>
    <row r="94" spans="5:9" x14ac:dyDescent="0.3">
      <c r="E94">
        <v>274867</v>
      </c>
    </row>
    <row r="95" spans="5:9" x14ac:dyDescent="0.3">
      <c r="E95">
        <v>52777</v>
      </c>
    </row>
    <row r="96" spans="5:9" x14ac:dyDescent="0.3">
      <c r="E96">
        <v>4125</v>
      </c>
    </row>
    <row r="97" spans="5:5" x14ac:dyDescent="0.3">
      <c r="E97">
        <v>1900</v>
      </c>
    </row>
    <row r="98" spans="5:5" x14ac:dyDescent="0.3">
      <c r="E98">
        <v>26202</v>
      </c>
    </row>
    <row r="99" spans="5:5" x14ac:dyDescent="0.3">
      <c r="E99">
        <v>16277</v>
      </c>
    </row>
    <row r="100" spans="5:5" x14ac:dyDescent="0.3">
      <c r="E100">
        <v>45258</v>
      </c>
    </row>
    <row r="101" spans="5:5" x14ac:dyDescent="0.3">
      <c r="E101">
        <v>65505</v>
      </c>
    </row>
  </sheetData>
  <autoFilter ref="A2:L75" xr:uid="{11510C2B-A689-4A71-8B54-75EE62C453E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D6B0B-5366-4885-AF7C-9A60487668C4}">
  <dimension ref="A1:N180"/>
  <sheetViews>
    <sheetView rightToLeft="1" tabSelected="1" topLeftCell="C1" workbookViewId="0">
      <pane ySplit="2" topLeftCell="A51" activePane="bottomLeft" state="frozen"/>
      <selection pane="bottomLeft" activeCell="M5" sqref="M5"/>
    </sheetView>
  </sheetViews>
  <sheetFormatPr defaultRowHeight="14.4" x14ac:dyDescent="0.3"/>
  <cols>
    <col min="1" max="1" width="12.6640625" customWidth="1"/>
    <col min="2" max="2" width="10.5546875" customWidth="1"/>
    <col min="3" max="3" width="7.88671875" customWidth="1"/>
    <col min="4" max="4" width="32.109375" bestFit="1" customWidth="1"/>
    <col min="5" max="5" width="25" bestFit="1" customWidth="1"/>
    <col min="6" max="6" width="19.21875" bestFit="1" customWidth="1"/>
    <col min="8" max="8" width="9.109375" bestFit="1" customWidth="1"/>
    <col min="9" max="9" width="12.77734375" bestFit="1" customWidth="1"/>
    <col min="10" max="10" width="12.6640625" bestFit="1" customWidth="1"/>
    <col min="11" max="11" width="12.6640625" customWidth="1"/>
    <col min="12" max="12" width="20.109375" bestFit="1" customWidth="1"/>
    <col min="13" max="13" width="40.44140625" customWidth="1"/>
  </cols>
  <sheetData>
    <row r="1" spans="1:13" ht="24.6" customHeight="1" x14ac:dyDescent="0.3">
      <c r="F1" s="116" t="s">
        <v>134</v>
      </c>
    </row>
    <row r="2" spans="1:13" x14ac:dyDescent="0.3">
      <c r="A2" s="15" t="s">
        <v>0</v>
      </c>
      <c r="B2" s="15" t="s">
        <v>1</v>
      </c>
      <c r="C2" s="15" t="s">
        <v>129</v>
      </c>
      <c r="D2" s="15" t="s">
        <v>28</v>
      </c>
      <c r="E2" s="15" t="s">
        <v>39</v>
      </c>
      <c r="F2" s="15" t="s">
        <v>59</v>
      </c>
      <c r="G2" s="15" t="s">
        <v>5</v>
      </c>
      <c r="H2" s="15" t="s">
        <v>36</v>
      </c>
      <c r="I2" s="15" t="s">
        <v>37</v>
      </c>
      <c r="J2" s="15" t="s">
        <v>8</v>
      </c>
      <c r="K2" s="15" t="s">
        <v>38</v>
      </c>
      <c r="L2" s="15" t="s">
        <v>24</v>
      </c>
      <c r="M2" s="24" t="s">
        <v>48</v>
      </c>
    </row>
    <row r="3" spans="1:13" x14ac:dyDescent="0.3">
      <c r="A3" s="2">
        <v>45992</v>
      </c>
      <c r="B3" s="5">
        <v>1142</v>
      </c>
      <c r="C3" s="5" t="s">
        <v>130</v>
      </c>
      <c r="D3" s="5" t="s">
        <v>117</v>
      </c>
      <c r="E3" s="1" t="s">
        <v>95</v>
      </c>
      <c r="F3" s="6">
        <v>8</v>
      </c>
      <c r="G3" s="6">
        <v>425</v>
      </c>
      <c r="H3" s="45">
        <v>8</v>
      </c>
      <c r="I3" s="6">
        <f t="shared" ref="I3:I70" si="0">H3*G3</f>
        <v>3400</v>
      </c>
      <c r="J3" s="1">
        <f t="shared" ref="J3:J165" si="1">I3*15%</f>
        <v>510</v>
      </c>
      <c r="K3" s="80">
        <f t="shared" ref="K3:K165" si="2">I3+J3</f>
        <v>3910</v>
      </c>
      <c r="L3" s="22" t="s">
        <v>25</v>
      </c>
      <c r="M3" s="95"/>
    </row>
    <row r="4" spans="1:13" x14ac:dyDescent="0.3">
      <c r="A4" s="2">
        <v>45992</v>
      </c>
      <c r="B4" s="5">
        <v>1143</v>
      </c>
      <c r="C4" s="5" t="s">
        <v>130</v>
      </c>
      <c r="D4" s="5" t="s">
        <v>132</v>
      </c>
      <c r="E4" s="5" t="s">
        <v>17</v>
      </c>
      <c r="F4" s="6">
        <v>200</v>
      </c>
      <c r="G4" s="6">
        <v>286</v>
      </c>
      <c r="H4" s="45">
        <v>200</v>
      </c>
      <c r="I4" s="6">
        <f t="shared" si="0"/>
        <v>57200</v>
      </c>
      <c r="J4" s="6">
        <f t="shared" si="1"/>
        <v>8580</v>
      </c>
      <c r="K4" s="80">
        <f t="shared" si="2"/>
        <v>65780</v>
      </c>
      <c r="L4" s="117" t="s">
        <v>25</v>
      </c>
      <c r="M4" s="95"/>
    </row>
    <row r="5" spans="1:13" x14ac:dyDescent="0.3">
      <c r="A5" s="2">
        <v>45992</v>
      </c>
      <c r="B5" s="5">
        <v>1144</v>
      </c>
      <c r="C5" s="5" t="s">
        <v>130</v>
      </c>
      <c r="D5" s="5" t="s">
        <v>133</v>
      </c>
      <c r="E5" s="5" t="s">
        <v>11</v>
      </c>
      <c r="F5" s="6">
        <v>200</v>
      </c>
      <c r="G5" s="6">
        <v>167</v>
      </c>
      <c r="H5" s="45">
        <v>200</v>
      </c>
      <c r="I5" s="6">
        <f t="shared" si="0"/>
        <v>33400</v>
      </c>
      <c r="J5" s="6">
        <f t="shared" si="1"/>
        <v>5010</v>
      </c>
      <c r="K5" s="80">
        <f t="shared" si="2"/>
        <v>38410</v>
      </c>
      <c r="L5" s="117" t="s">
        <v>25</v>
      </c>
      <c r="M5" s="95"/>
    </row>
    <row r="6" spans="1:13" x14ac:dyDescent="0.3">
      <c r="A6" s="2">
        <v>45992</v>
      </c>
      <c r="B6" s="5">
        <v>1145</v>
      </c>
      <c r="C6" s="5" t="s">
        <v>130</v>
      </c>
      <c r="D6" s="5" t="s">
        <v>32</v>
      </c>
      <c r="E6" s="5" t="s">
        <v>106</v>
      </c>
      <c r="F6" s="6">
        <v>20</v>
      </c>
      <c r="G6" s="6">
        <v>408</v>
      </c>
      <c r="H6" s="45">
        <v>20</v>
      </c>
      <c r="I6" s="6">
        <f t="shared" si="0"/>
        <v>8160</v>
      </c>
      <c r="J6" s="6">
        <f t="shared" si="1"/>
        <v>1224</v>
      </c>
      <c r="K6" s="80">
        <f t="shared" si="2"/>
        <v>9384</v>
      </c>
      <c r="L6" s="117" t="s">
        <v>25</v>
      </c>
      <c r="M6" s="95"/>
    </row>
    <row r="7" spans="1:13" x14ac:dyDescent="0.3">
      <c r="A7" s="2">
        <v>45992</v>
      </c>
      <c r="B7" s="5">
        <v>1145</v>
      </c>
      <c r="C7" s="5" t="s">
        <v>130</v>
      </c>
      <c r="D7" s="1" t="s">
        <v>32</v>
      </c>
      <c r="E7" s="5" t="s">
        <v>11</v>
      </c>
      <c r="F7" s="6">
        <v>50</v>
      </c>
      <c r="G7" s="6">
        <v>167</v>
      </c>
      <c r="H7" s="45">
        <v>50</v>
      </c>
      <c r="I7" s="6">
        <f t="shared" si="0"/>
        <v>8350</v>
      </c>
      <c r="J7" s="6">
        <f t="shared" si="1"/>
        <v>1252.5</v>
      </c>
      <c r="K7" s="80">
        <f t="shared" si="2"/>
        <v>9602.5</v>
      </c>
      <c r="L7" s="117" t="s">
        <v>25</v>
      </c>
      <c r="M7" s="95"/>
    </row>
    <row r="8" spans="1:13" x14ac:dyDescent="0.3">
      <c r="A8" s="2">
        <v>45992</v>
      </c>
      <c r="B8" s="1">
        <v>1146</v>
      </c>
      <c r="C8" s="1" t="s">
        <v>130</v>
      </c>
      <c r="D8" s="5" t="s">
        <v>128</v>
      </c>
      <c r="E8" s="5" t="s">
        <v>95</v>
      </c>
      <c r="F8" s="1">
        <v>8</v>
      </c>
      <c r="G8" s="1">
        <v>430</v>
      </c>
      <c r="H8" s="1">
        <v>8</v>
      </c>
      <c r="I8" s="6">
        <f t="shared" si="0"/>
        <v>3440</v>
      </c>
      <c r="J8" s="6">
        <f t="shared" si="1"/>
        <v>516</v>
      </c>
      <c r="K8" s="80">
        <f t="shared" si="2"/>
        <v>3956</v>
      </c>
      <c r="L8" s="22" t="s">
        <v>25</v>
      </c>
      <c r="M8" s="16"/>
    </row>
    <row r="9" spans="1:13" x14ac:dyDescent="0.3">
      <c r="A9" s="12">
        <v>45993</v>
      </c>
      <c r="B9" s="5">
        <v>1147</v>
      </c>
      <c r="C9" s="5" t="s">
        <v>131</v>
      </c>
      <c r="D9" s="5" t="s">
        <v>135</v>
      </c>
      <c r="E9" s="5" t="s">
        <v>11</v>
      </c>
      <c r="F9" s="5">
        <v>250</v>
      </c>
      <c r="G9" s="5">
        <v>167</v>
      </c>
      <c r="H9" s="5">
        <v>250</v>
      </c>
      <c r="I9" s="6">
        <f t="shared" si="0"/>
        <v>41750</v>
      </c>
      <c r="J9" s="6">
        <f t="shared" si="1"/>
        <v>6262.5</v>
      </c>
      <c r="K9" s="80">
        <f t="shared" si="2"/>
        <v>48012.5</v>
      </c>
      <c r="L9" s="91" t="s">
        <v>25</v>
      </c>
      <c r="M9" s="16"/>
    </row>
    <row r="10" spans="1:13" x14ac:dyDescent="0.3">
      <c r="A10" s="2">
        <v>45993</v>
      </c>
      <c r="B10" s="1">
        <v>1148</v>
      </c>
      <c r="C10" s="1" t="s">
        <v>131</v>
      </c>
      <c r="D10" s="5" t="s">
        <v>115</v>
      </c>
      <c r="E10" s="1" t="s">
        <v>137</v>
      </c>
      <c r="F10" s="1"/>
      <c r="G10" s="1"/>
      <c r="H10" s="5"/>
      <c r="I10" s="6">
        <f t="shared" si="0"/>
        <v>0</v>
      </c>
      <c r="J10" s="6">
        <f t="shared" si="1"/>
        <v>0</v>
      </c>
      <c r="K10" s="3">
        <f t="shared" si="2"/>
        <v>0</v>
      </c>
      <c r="L10" s="61"/>
      <c r="M10" s="10"/>
    </row>
    <row r="11" spans="1:13" x14ac:dyDescent="0.3">
      <c r="A11" s="2">
        <v>45993</v>
      </c>
      <c r="B11" s="1">
        <v>1149</v>
      </c>
      <c r="C11" s="1" t="s">
        <v>131</v>
      </c>
      <c r="D11" s="48" t="s">
        <v>115</v>
      </c>
      <c r="E11" s="1" t="s">
        <v>136</v>
      </c>
      <c r="F11" s="1"/>
      <c r="G11" s="1"/>
      <c r="H11" s="1"/>
      <c r="I11" s="6">
        <f t="shared" si="0"/>
        <v>0</v>
      </c>
      <c r="J11" s="6">
        <f t="shared" si="1"/>
        <v>0</v>
      </c>
      <c r="K11" s="3">
        <f t="shared" si="2"/>
        <v>0</v>
      </c>
      <c r="L11" s="61"/>
      <c r="M11" s="10"/>
    </row>
    <row r="12" spans="1:13" x14ac:dyDescent="0.3">
      <c r="A12" s="2">
        <v>45993</v>
      </c>
      <c r="B12" s="1">
        <v>1150</v>
      </c>
      <c r="C12" s="1" t="s">
        <v>131</v>
      </c>
      <c r="D12" s="5" t="s">
        <v>115</v>
      </c>
      <c r="E12" s="5" t="s">
        <v>20</v>
      </c>
      <c r="F12" s="1">
        <v>50</v>
      </c>
      <c r="G12" s="1">
        <v>46</v>
      </c>
      <c r="H12" s="41">
        <v>684.3</v>
      </c>
      <c r="I12" s="6">
        <f t="shared" si="0"/>
        <v>31477.8</v>
      </c>
      <c r="J12" s="6">
        <f t="shared" si="1"/>
        <v>4721.67</v>
      </c>
      <c r="K12" s="80">
        <f t="shared" si="2"/>
        <v>36199.47</v>
      </c>
      <c r="L12" s="117" t="s">
        <v>25</v>
      </c>
      <c r="M12" s="16"/>
    </row>
    <row r="13" spans="1:13" x14ac:dyDescent="0.3">
      <c r="A13" s="2">
        <v>45993</v>
      </c>
      <c r="B13" s="1">
        <v>1150</v>
      </c>
      <c r="C13" s="1" t="s">
        <v>131</v>
      </c>
      <c r="D13" s="5" t="s">
        <v>115</v>
      </c>
      <c r="E13" s="5" t="s">
        <v>11</v>
      </c>
      <c r="F13" s="1">
        <v>25</v>
      </c>
      <c r="G13" s="1">
        <v>167</v>
      </c>
      <c r="H13" s="1">
        <v>25</v>
      </c>
      <c r="I13" s="6">
        <f t="shared" si="0"/>
        <v>4175</v>
      </c>
      <c r="J13" s="6">
        <f t="shared" si="1"/>
        <v>626.25</v>
      </c>
      <c r="K13" s="80">
        <f t="shared" si="2"/>
        <v>4801.25</v>
      </c>
      <c r="L13" s="117" t="s">
        <v>25</v>
      </c>
      <c r="M13" s="16"/>
    </row>
    <row r="14" spans="1:13" x14ac:dyDescent="0.3">
      <c r="A14" s="2">
        <v>45993</v>
      </c>
      <c r="B14" s="1">
        <v>1151</v>
      </c>
      <c r="C14" s="1" t="s">
        <v>130</v>
      </c>
      <c r="D14" s="5" t="s">
        <v>117</v>
      </c>
      <c r="E14" s="1" t="s">
        <v>95</v>
      </c>
      <c r="F14" s="1">
        <v>7</v>
      </c>
      <c r="G14" s="1">
        <v>425</v>
      </c>
      <c r="H14" s="1">
        <v>7</v>
      </c>
      <c r="I14" s="6">
        <f t="shared" si="0"/>
        <v>2975</v>
      </c>
      <c r="J14" s="6">
        <f t="shared" si="1"/>
        <v>446.25</v>
      </c>
      <c r="K14" s="80">
        <f t="shared" si="2"/>
        <v>3421.25</v>
      </c>
      <c r="L14" s="117" t="s">
        <v>25</v>
      </c>
      <c r="M14" s="95"/>
    </row>
    <row r="15" spans="1:13" x14ac:dyDescent="0.3">
      <c r="A15" s="2">
        <v>45993</v>
      </c>
      <c r="B15" s="1">
        <v>1152</v>
      </c>
      <c r="C15" s="1" t="s">
        <v>130</v>
      </c>
      <c r="D15" s="5" t="s">
        <v>76</v>
      </c>
      <c r="E15" s="1" t="s">
        <v>11</v>
      </c>
      <c r="F15" s="1">
        <v>50</v>
      </c>
      <c r="G15" s="1">
        <v>167</v>
      </c>
      <c r="H15" s="1">
        <v>50</v>
      </c>
      <c r="I15" s="6">
        <f t="shared" si="0"/>
        <v>8350</v>
      </c>
      <c r="J15" s="6">
        <f t="shared" si="1"/>
        <v>1252.5</v>
      </c>
      <c r="K15" s="80">
        <f t="shared" si="2"/>
        <v>9602.5</v>
      </c>
      <c r="L15" s="117" t="s">
        <v>25</v>
      </c>
      <c r="M15" s="95"/>
    </row>
    <row r="16" spans="1:13" x14ac:dyDescent="0.3">
      <c r="A16" s="2">
        <v>45994</v>
      </c>
      <c r="B16" s="1">
        <v>1153</v>
      </c>
      <c r="C16" s="1" t="s">
        <v>131</v>
      </c>
      <c r="D16" s="5" t="s">
        <v>96</v>
      </c>
      <c r="E16" s="1" t="s">
        <v>138</v>
      </c>
      <c r="F16" s="1">
        <v>25</v>
      </c>
      <c r="G16" s="1">
        <v>413</v>
      </c>
      <c r="H16" s="1">
        <v>25</v>
      </c>
      <c r="I16" s="6">
        <f t="shared" si="0"/>
        <v>10325</v>
      </c>
      <c r="J16" s="6">
        <f t="shared" si="1"/>
        <v>1548.75</v>
      </c>
      <c r="K16" s="80">
        <f t="shared" si="2"/>
        <v>11873.75</v>
      </c>
      <c r="L16" s="117" t="s">
        <v>25</v>
      </c>
      <c r="M16" s="10"/>
    </row>
    <row r="17" spans="1:13" x14ac:dyDescent="0.3">
      <c r="A17" s="2">
        <v>45994</v>
      </c>
      <c r="B17" s="1">
        <v>1153</v>
      </c>
      <c r="C17" s="1" t="s">
        <v>131</v>
      </c>
      <c r="D17" s="1" t="s">
        <v>96</v>
      </c>
      <c r="E17" s="1" t="s">
        <v>140</v>
      </c>
      <c r="F17" s="1">
        <v>50</v>
      </c>
      <c r="G17" s="1">
        <v>340</v>
      </c>
      <c r="H17" s="1">
        <v>50</v>
      </c>
      <c r="I17" s="6">
        <f t="shared" si="0"/>
        <v>17000</v>
      </c>
      <c r="J17" s="6">
        <f t="shared" si="1"/>
        <v>2550</v>
      </c>
      <c r="K17" s="80">
        <f t="shared" si="2"/>
        <v>19550</v>
      </c>
      <c r="L17" s="117" t="s">
        <v>25</v>
      </c>
      <c r="M17" s="10"/>
    </row>
    <row r="18" spans="1:13" x14ac:dyDescent="0.3">
      <c r="A18" s="2">
        <v>45994</v>
      </c>
      <c r="B18" s="1">
        <v>1154</v>
      </c>
      <c r="C18" s="1" t="s">
        <v>131</v>
      </c>
      <c r="D18" s="5" t="s">
        <v>86</v>
      </c>
      <c r="E18" s="1" t="s">
        <v>139</v>
      </c>
      <c r="F18" s="1">
        <v>25</v>
      </c>
      <c r="G18" s="1">
        <v>330</v>
      </c>
      <c r="H18" s="1">
        <v>25</v>
      </c>
      <c r="I18" s="6">
        <f t="shared" si="0"/>
        <v>8250</v>
      </c>
      <c r="J18" s="6">
        <f t="shared" si="1"/>
        <v>1237.5</v>
      </c>
      <c r="K18" s="80">
        <f t="shared" si="2"/>
        <v>9487.5</v>
      </c>
      <c r="L18" s="117" t="s">
        <v>25</v>
      </c>
      <c r="M18" s="10"/>
    </row>
    <row r="19" spans="1:13" x14ac:dyDescent="0.3">
      <c r="A19" s="2">
        <v>45994</v>
      </c>
      <c r="B19" s="1">
        <v>1154</v>
      </c>
      <c r="C19" s="1" t="s">
        <v>131</v>
      </c>
      <c r="D19" s="5" t="s">
        <v>86</v>
      </c>
      <c r="E19" s="5" t="s">
        <v>46</v>
      </c>
      <c r="F19" s="1">
        <v>15</v>
      </c>
      <c r="G19" s="1">
        <v>24.5</v>
      </c>
      <c r="H19" s="1">
        <v>340.93</v>
      </c>
      <c r="I19" s="6">
        <f t="shared" si="0"/>
        <v>8352.7849999999999</v>
      </c>
      <c r="J19" s="6">
        <f t="shared" si="1"/>
        <v>1252.9177499999998</v>
      </c>
      <c r="K19" s="80">
        <f t="shared" si="2"/>
        <v>9605.7027500000004</v>
      </c>
      <c r="L19" s="117" t="s">
        <v>25</v>
      </c>
      <c r="M19" s="10"/>
    </row>
    <row r="20" spans="1:13" x14ac:dyDescent="0.3">
      <c r="A20" s="2">
        <v>45994</v>
      </c>
      <c r="B20" s="5">
        <v>1154</v>
      </c>
      <c r="C20" s="5" t="s">
        <v>131</v>
      </c>
      <c r="D20" s="5" t="s">
        <v>86</v>
      </c>
      <c r="E20" s="5" t="s">
        <v>20</v>
      </c>
      <c r="F20" s="6">
        <v>10</v>
      </c>
      <c r="G20" s="6">
        <v>46</v>
      </c>
      <c r="H20" s="6">
        <v>129.6</v>
      </c>
      <c r="I20" s="6">
        <f t="shared" si="0"/>
        <v>5961.5999999999995</v>
      </c>
      <c r="J20" s="6">
        <f t="shared" si="1"/>
        <v>894.2399999999999</v>
      </c>
      <c r="K20" s="80">
        <f t="shared" si="2"/>
        <v>6855.8399999999992</v>
      </c>
      <c r="L20" s="117" t="s">
        <v>25</v>
      </c>
      <c r="M20" s="10"/>
    </row>
    <row r="21" spans="1:13" x14ac:dyDescent="0.3">
      <c r="A21" s="2">
        <v>45995</v>
      </c>
      <c r="B21" s="144">
        <v>1155</v>
      </c>
      <c r="C21" s="1" t="s">
        <v>130</v>
      </c>
      <c r="D21" s="5" t="s">
        <v>117</v>
      </c>
      <c r="E21" s="1" t="s">
        <v>140</v>
      </c>
      <c r="F21" s="45">
        <v>20</v>
      </c>
      <c r="G21" s="1">
        <v>336</v>
      </c>
      <c r="H21" s="1">
        <v>20</v>
      </c>
      <c r="I21" s="6">
        <f t="shared" si="0"/>
        <v>6720</v>
      </c>
      <c r="J21" s="6">
        <f t="shared" si="1"/>
        <v>1008</v>
      </c>
      <c r="K21" s="119">
        <f t="shared" si="2"/>
        <v>7728</v>
      </c>
      <c r="L21" s="112" t="s">
        <v>25</v>
      </c>
      <c r="M21" s="120"/>
    </row>
    <row r="22" spans="1:13" x14ac:dyDescent="0.3">
      <c r="A22" s="2">
        <v>45995</v>
      </c>
      <c r="B22" s="5">
        <v>1156</v>
      </c>
      <c r="C22" s="5" t="s">
        <v>130</v>
      </c>
      <c r="D22" s="5" t="s">
        <v>143</v>
      </c>
      <c r="E22" s="5" t="s">
        <v>11</v>
      </c>
      <c r="F22" s="6">
        <v>100</v>
      </c>
      <c r="G22" s="6">
        <v>165</v>
      </c>
      <c r="H22" s="6">
        <v>100</v>
      </c>
      <c r="I22" s="6">
        <f>H22*G22</f>
        <v>16500</v>
      </c>
      <c r="J22" s="6">
        <f t="shared" si="1"/>
        <v>2475</v>
      </c>
      <c r="K22" s="80">
        <f t="shared" si="2"/>
        <v>18975</v>
      </c>
      <c r="L22" s="91" t="s">
        <v>25</v>
      </c>
      <c r="M22" s="95"/>
    </row>
    <row r="23" spans="1:13" x14ac:dyDescent="0.3">
      <c r="A23" s="2">
        <v>45995</v>
      </c>
      <c r="B23" s="143">
        <v>1157</v>
      </c>
      <c r="C23" s="5" t="s">
        <v>130</v>
      </c>
      <c r="D23" s="5" t="s">
        <v>72</v>
      </c>
      <c r="E23" s="5" t="s">
        <v>46</v>
      </c>
      <c r="F23" s="6">
        <v>10</v>
      </c>
      <c r="G23" s="6">
        <v>24.5</v>
      </c>
      <c r="H23" s="6">
        <v>250.63</v>
      </c>
      <c r="I23" s="6">
        <f>H23*G23</f>
        <v>6140.4349999999995</v>
      </c>
      <c r="J23" s="6">
        <f t="shared" si="1"/>
        <v>921.06524999999988</v>
      </c>
      <c r="K23" s="119">
        <f t="shared" si="2"/>
        <v>7061.5002499999991</v>
      </c>
      <c r="L23" s="112" t="s">
        <v>25</v>
      </c>
      <c r="M23" s="120"/>
    </row>
    <row r="24" spans="1:13" x14ac:dyDescent="0.3">
      <c r="A24" s="2">
        <v>45995</v>
      </c>
      <c r="B24" s="143">
        <v>1158</v>
      </c>
      <c r="C24" s="5" t="s">
        <v>130</v>
      </c>
      <c r="D24" s="5" t="s">
        <v>47</v>
      </c>
      <c r="E24" s="1" t="s">
        <v>140</v>
      </c>
      <c r="F24" s="6">
        <v>2</v>
      </c>
      <c r="G24" s="6">
        <v>342</v>
      </c>
      <c r="H24" s="45">
        <v>2</v>
      </c>
      <c r="I24" s="6">
        <f t="shared" si="0"/>
        <v>684</v>
      </c>
      <c r="J24" s="6">
        <f t="shared" si="1"/>
        <v>102.6</v>
      </c>
      <c r="K24" s="119">
        <f t="shared" si="2"/>
        <v>786.6</v>
      </c>
      <c r="L24" s="112" t="s">
        <v>25</v>
      </c>
      <c r="M24" s="113"/>
    </row>
    <row r="25" spans="1:13" x14ac:dyDescent="0.3">
      <c r="A25" s="2">
        <v>45997</v>
      </c>
      <c r="B25" s="143">
        <v>1159</v>
      </c>
      <c r="C25" s="5" t="s">
        <v>130</v>
      </c>
      <c r="D25" s="5" t="s">
        <v>30</v>
      </c>
      <c r="E25" s="5" t="s">
        <v>17</v>
      </c>
      <c r="F25" s="6">
        <v>20</v>
      </c>
      <c r="G25" s="6">
        <v>285</v>
      </c>
      <c r="H25" s="45">
        <v>20</v>
      </c>
      <c r="I25" s="6">
        <f t="shared" si="0"/>
        <v>5700</v>
      </c>
      <c r="J25" s="6">
        <f t="shared" si="1"/>
        <v>855</v>
      </c>
      <c r="K25" s="119">
        <f t="shared" si="2"/>
        <v>6555</v>
      </c>
      <c r="L25" s="112" t="s">
        <v>25</v>
      </c>
      <c r="M25" s="120"/>
    </row>
    <row r="26" spans="1:13" x14ac:dyDescent="0.3">
      <c r="A26" s="2">
        <v>45997</v>
      </c>
      <c r="B26" s="143">
        <v>1160</v>
      </c>
      <c r="C26" s="5" t="s">
        <v>130</v>
      </c>
      <c r="D26" s="1" t="s">
        <v>123</v>
      </c>
      <c r="E26" s="5" t="s">
        <v>145</v>
      </c>
      <c r="F26" s="6">
        <v>31</v>
      </c>
      <c r="G26" s="6">
        <v>720</v>
      </c>
      <c r="H26" s="45">
        <v>31</v>
      </c>
      <c r="I26" s="6">
        <f t="shared" si="0"/>
        <v>22320</v>
      </c>
      <c r="J26" s="6">
        <f t="shared" si="1"/>
        <v>3348</v>
      </c>
      <c r="K26" s="80">
        <f t="shared" si="2"/>
        <v>25668</v>
      </c>
      <c r="L26" s="91" t="s">
        <v>25</v>
      </c>
      <c r="M26" s="120"/>
    </row>
    <row r="27" spans="1:13" x14ac:dyDescent="0.3">
      <c r="A27" s="2">
        <v>45997</v>
      </c>
      <c r="B27" s="5">
        <v>1161</v>
      </c>
      <c r="C27" s="5" t="s">
        <v>130</v>
      </c>
      <c r="D27" s="5" t="s">
        <v>88</v>
      </c>
      <c r="E27" s="5" t="s">
        <v>11</v>
      </c>
      <c r="F27" s="6">
        <v>10</v>
      </c>
      <c r="G27" s="6">
        <v>167</v>
      </c>
      <c r="H27" s="41">
        <v>10</v>
      </c>
      <c r="I27" s="6">
        <f t="shared" si="0"/>
        <v>1670</v>
      </c>
      <c r="J27" s="6">
        <f t="shared" si="1"/>
        <v>250.5</v>
      </c>
      <c r="K27" s="119">
        <f t="shared" si="2"/>
        <v>1920.5</v>
      </c>
      <c r="L27" s="112" t="s">
        <v>25</v>
      </c>
      <c r="M27" s="120"/>
    </row>
    <row r="28" spans="1:13" x14ac:dyDescent="0.3">
      <c r="A28" s="2">
        <v>45998</v>
      </c>
      <c r="B28" s="5">
        <v>1162</v>
      </c>
      <c r="C28" s="5" t="s">
        <v>130</v>
      </c>
      <c r="D28" s="1" t="s">
        <v>32</v>
      </c>
      <c r="E28" s="5" t="s">
        <v>106</v>
      </c>
      <c r="F28" s="6">
        <v>15</v>
      </c>
      <c r="G28" s="6">
        <v>406</v>
      </c>
      <c r="H28" s="45">
        <v>15</v>
      </c>
      <c r="I28" s="6">
        <f t="shared" si="0"/>
        <v>6090</v>
      </c>
      <c r="J28" s="6">
        <f t="shared" si="1"/>
        <v>913.5</v>
      </c>
      <c r="K28" s="80">
        <f t="shared" si="2"/>
        <v>7003.5</v>
      </c>
      <c r="L28" s="91" t="s">
        <v>25</v>
      </c>
      <c r="M28" s="95"/>
    </row>
    <row r="29" spans="1:13" x14ac:dyDescent="0.3">
      <c r="A29" s="2">
        <v>45998</v>
      </c>
      <c r="B29" s="5">
        <v>1163</v>
      </c>
      <c r="C29" s="5" t="s">
        <v>131</v>
      </c>
      <c r="D29" s="5" t="s">
        <v>146</v>
      </c>
      <c r="E29" s="5" t="s">
        <v>139</v>
      </c>
      <c r="F29" s="6">
        <v>200</v>
      </c>
      <c r="G29" s="6">
        <v>330</v>
      </c>
      <c r="H29" s="45">
        <v>200</v>
      </c>
      <c r="I29" s="6">
        <f t="shared" si="0"/>
        <v>66000</v>
      </c>
      <c r="J29" s="6">
        <f t="shared" si="1"/>
        <v>9900</v>
      </c>
      <c r="K29" s="133">
        <f t="shared" si="2"/>
        <v>75900</v>
      </c>
      <c r="L29" s="91" t="s">
        <v>25</v>
      </c>
      <c r="M29" s="124"/>
    </row>
    <row r="30" spans="1:13" x14ac:dyDescent="0.3">
      <c r="A30" s="2">
        <v>45998</v>
      </c>
      <c r="B30" s="5">
        <v>1164</v>
      </c>
      <c r="C30" s="5" t="s">
        <v>130</v>
      </c>
      <c r="D30" s="5" t="s">
        <v>72</v>
      </c>
      <c r="E30" s="5" t="s">
        <v>20</v>
      </c>
      <c r="F30" s="6">
        <v>20</v>
      </c>
      <c r="G30" s="6">
        <v>46</v>
      </c>
      <c r="H30" s="32">
        <v>240.37</v>
      </c>
      <c r="I30" s="6">
        <f t="shared" si="0"/>
        <v>11057.02</v>
      </c>
      <c r="J30" s="6">
        <f t="shared" si="1"/>
        <v>1658.5530000000001</v>
      </c>
      <c r="K30" s="80">
        <f t="shared" si="2"/>
        <v>12715.573</v>
      </c>
      <c r="L30" s="91" t="s">
        <v>25</v>
      </c>
      <c r="M30" s="16"/>
    </row>
    <row r="31" spans="1:13" x14ac:dyDescent="0.3">
      <c r="A31" s="2">
        <v>45998</v>
      </c>
      <c r="B31" s="5">
        <v>1164</v>
      </c>
      <c r="C31" s="5" t="s">
        <v>130</v>
      </c>
      <c r="D31" s="5" t="s">
        <v>72</v>
      </c>
      <c r="E31" s="5" t="s">
        <v>46</v>
      </c>
      <c r="F31" s="6">
        <v>30</v>
      </c>
      <c r="G31" s="6">
        <v>24.5</v>
      </c>
      <c r="H31" s="32">
        <v>652.66999999999996</v>
      </c>
      <c r="I31" s="6">
        <f t="shared" si="0"/>
        <v>15990.414999999999</v>
      </c>
      <c r="J31" s="6">
        <f t="shared" si="1"/>
        <v>2398.5622499999999</v>
      </c>
      <c r="K31" s="80">
        <f t="shared" si="2"/>
        <v>18388.97725</v>
      </c>
      <c r="L31" s="91" t="s">
        <v>25</v>
      </c>
      <c r="M31" s="123"/>
    </row>
    <row r="32" spans="1:13" x14ac:dyDescent="0.3">
      <c r="A32" s="2">
        <v>45998</v>
      </c>
      <c r="B32" s="5">
        <v>1165</v>
      </c>
      <c r="C32" s="5" t="s">
        <v>130</v>
      </c>
      <c r="D32" s="1" t="s">
        <v>32</v>
      </c>
      <c r="E32" s="5" t="s">
        <v>106</v>
      </c>
      <c r="F32" s="6">
        <v>15</v>
      </c>
      <c r="G32" s="6">
        <v>408</v>
      </c>
      <c r="H32" s="45">
        <v>15</v>
      </c>
      <c r="I32" s="6">
        <f t="shared" si="0"/>
        <v>6120</v>
      </c>
      <c r="J32" s="6">
        <f t="shared" si="1"/>
        <v>918</v>
      </c>
      <c r="K32" s="80">
        <f t="shared" si="2"/>
        <v>7038</v>
      </c>
      <c r="L32" s="91" t="s">
        <v>25</v>
      </c>
      <c r="M32" s="123"/>
    </row>
    <row r="33" spans="1:13" x14ac:dyDescent="0.3">
      <c r="A33" s="2">
        <v>45999</v>
      </c>
      <c r="B33" s="5">
        <v>1166</v>
      </c>
      <c r="C33" s="5" t="s">
        <v>130</v>
      </c>
      <c r="D33" s="5" t="s">
        <v>117</v>
      </c>
      <c r="E33" s="5" t="s">
        <v>140</v>
      </c>
      <c r="F33" s="6">
        <v>20</v>
      </c>
      <c r="G33" s="6">
        <v>338</v>
      </c>
      <c r="H33" s="6">
        <v>20</v>
      </c>
      <c r="I33" s="6">
        <f t="shared" si="0"/>
        <v>6760</v>
      </c>
      <c r="J33" s="6">
        <f t="shared" si="1"/>
        <v>1014</v>
      </c>
      <c r="K33" s="80">
        <f t="shared" si="2"/>
        <v>7774</v>
      </c>
      <c r="L33" s="91" t="s">
        <v>25</v>
      </c>
      <c r="M33" s="16"/>
    </row>
    <row r="34" spans="1:13" x14ac:dyDescent="0.3">
      <c r="A34" s="2">
        <v>45999</v>
      </c>
      <c r="B34" s="143">
        <v>1167</v>
      </c>
      <c r="C34" s="5" t="s">
        <v>130</v>
      </c>
      <c r="D34" s="5" t="s">
        <v>147</v>
      </c>
      <c r="E34" s="5" t="s">
        <v>46</v>
      </c>
      <c r="F34" s="6">
        <v>30</v>
      </c>
      <c r="G34" s="6">
        <v>24.5</v>
      </c>
      <c r="H34" s="6">
        <v>688.42</v>
      </c>
      <c r="I34" s="6">
        <f t="shared" si="0"/>
        <v>16866.289999999997</v>
      </c>
      <c r="J34" s="6">
        <f t="shared" si="1"/>
        <v>2529.9434999999994</v>
      </c>
      <c r="K34" s="119">
        <f t="shared" si="2"/>
        <v>19396.233499999995</v>
      </c>
      <c r="L34" s="112" t="s">
        <v>25</v>
      </c>
      <c r="M34" s="113"/>
    </row>
    <row r="35" spans="1:13" x14ac:dyDescent="0.3">
      <c r="A35" s="2">
        <v>45999</v>
      </c>
      <c r="B35" s="5">
        <v>1168</v>
      </c>
      <c r="C35" s="5" t="s">
        <v>130</v>
      </c>
      <c r="D35" s="1" t="s">
        <v>27</v>
      </c>
      <c r="E35" s="5" t="s">
        <v>11</v>
      </c>
      <c r="F35" s="6">
        <v>10</v>
      </c>
      <c r="G35" s="6">
        <v>167</v>
      </c>
      <c r="H35" s="6">
        <v>10</v>
      </c>
      <c r="I35" s="6">
        <f t="shared" si="0"/>
        <v>1670</v>
      </c>
      <c r="J35" s="6">
        <f t="shared" si="1"/>
        <v>250.5</v>
      </c>
      <c r="K35" s="119">
        <f t="shared" si="2"/>
        <v>1920.5</v>
      </c>
      <c r="L35" s="112" t="s">
        <v>25</v>
      </c>
      <c r="M35" s="113"/>
    </row>
    <row r="36" spans="1:13" x14ac:dyDescent="0.3">
      <c r="A36" s="2">
        <v>45999</v>
      </c>
      <c r="B36" s="5">
        <v>1169</v>
      </c>
      <c r="C36" s="5" t="s">
        <v>130</v>
      </c>
      <c r="D36" s="1" t="s">
        <v>32</v>
      </c>
      <c r="E36" s="5" t="s">
        <v>11</v>
      </c>
      <c r="F36" s="6">
        <v>50</v>
      </c>
      <c r="G36" s="6">
        <v>167</v>
      </c>
      <c r="H36" s="6">
        <v>50</v>
      </c>
      <c r="I36" s="6">
        <f t="shared" si="0"/>
        <v>8350</v>
      </c>
      <c r="J36" s="6">
        <f t="shared" si="1"/>
        <v>1252.5</v>
      </c>
      <c r="K36" s="80">
        <f t="shared" si="2"/>
        <v>9602.5</v>
      </c>
      <c r="L36" s="91" t="s">
        <v>25</v>
      </c>
      <c r="M36" s="16"/>
    </row>
    <row r="37" spans="1:13" x14ac:dyDescent="0.3">
      <c r="A37" s="2">
        <v>46000</v>
      </c>
      <c r="B37" s="5">
        <v>1170</v>
      </c>
      <c r="C37" s="5" t="s">
        <v>130</v>
      </c>
      <c r="D37" s="1" t="s">
        <v>32</v>
      </c>
      <c r="E37" s="5" t="s">
        <v>11</v>
      </c>
      <c r="F37" s="6">
        <v>50</v>
      </c>
      <c r="G37" s="6">
        <v>167</v>
      </c>
      <c r="H37" s="6">
        <v>50</v>
      </c>
      <c r="I37" s="6">
        <f t="shared" si="0"/>
        <v>8350</v>
      </c>
      <c r="J37" s="6">
        <f t="shared" si="1"/>
        <v>1252.5</v>
      </c>
      <c r="K37" s="80">
        <f t="shared" si="2"/>
        <v>9602.5</v>
      </c>
      <c r="L37" s="91" t="s">
        <v>25</v>
      </c>
      <c r="M37" s="95"/>
    </row>
    <row r="38" spans="1:13" x14ac:dyDescent="0.3">
      <c r="A38" s="2">
        <v>46000</v>
      </c>
      <c r="B38" s="5">
        <v>1170</v>
      </c>
      <c r="C38" s="5" t="s">
        <v>130</v>
      </c>
      <c r="D38" s="1" t="s">
        <v>32</v>
      </c>
      <c r="E38" s="1" t="s">
        <v>138</v>
      </c>
      <c r="F38" s="6">
        <v>15</v>
      </c>
      <c r="G38" s="6">
        <v>412</v>
      </c>
      <c r="H38" s="6">
        <v>15</v>
      </c>
      <c r="I38" s="6">
        <f t="shared" si="0"/>
        <v>6180</v>
      </c>
      <c r="J38" s="6">
        <f t="shared" si="1"/>
        <v>927</v>
      </c>
      <c r="K38" s="80">
        <f t="shared" si="2"/>
        <v>7107</v>
      </c>
      <c r="L38" s="91" t="s">
        <v>25</v>
      </c>
      <c r="M38" s="95"/>
    </row>
    <row r="39" spans="1:13" x14ac:dyDescent="0.3">
      <c r="A39" s="2">
        <v>46000</v>
      </c>
      <c r="B39" s="143">
        <v>1171</v>
      </c>
      <c r="C39" s="5" t="s">
        <v>130</v>
      </c>
      <c r="D39" s="5" t="s">
        <v>30</v>
      </c>
      <c r="E39" s="5" t="s">
        <v>17</v>
      </c>
      <c r="F39" s="6">
        <v>30</v>
      </c>
      <c r="G39" s="6">
        <v>286</v>
      </c>
      <c r="H39" s="6">
        <v>30</v>
      </c>
      <c r="I39" s="6">
        <f t="shared" si="0"/>
        <v>8580</v>
      </c>
      <c r="J39" s="6">
        <f t="shared" si="1"/>
        <v>1287</v>
      </c>
      <c r="K39" s="119">
        <f t="shared" si="2"/>
        <v>9867</v>
      </c>
      <c r="L39" s="112" t="s">
        <v>25</v>
      </c>
      <c r="M39" s="120"/>
    </row>
    <row r="40" spans="1:13" x14ac:dyDescent="0.3">
      <c r="A40" s="2">
        <v>46000</v>
      </c>
      <c r="B40" s="5">
        <v>1172</v>
      </c>
      <c r="C40" s="5" t="s">
        <v>130</v>
      </c>
      <c r="D40" s="1" t="s">
        <v>42</v>
      </c>
      <c r="E40" s="5" t="s">
        <v>148</v>
      </c>
      <c r="F40" s="6">
        <v>5</v>
      </c>
      <c r="G40" s="6">
        <v>162</v>
      </c>
      <c r="H40" s="6">
        <v>5</v>
      </c>
      <c r="I40" s="6">
        <f t="shared" si="0"/>
        <v>810</v>
      </c>
      <c r="J40" s="6">
        <f t="shared" si="1"/>
        <v>121.5</v>
      </c>
      <c r="K40" s="3">
        <f t="shared" si="2"/>
        <v>931.5</v>
      </c>
      <c r="L40" s="17" t="s">
        <v>104</v>
      </c>
      <c r="M40" s="10"/>
    </row>
    <row r="41" spans="1:13" x14ac:dyDescent="0.3">
      <c r="A41" s="47">
        <v>46005</v>
      </c>
      <c r="B41" s="48">
        <v>1197</v>
      </c>
      <c r="C41" s="48" t="s">
        <v>130</v>
      </c>
      <c r="D41" s="62" t="s">
        <v>42</v>
      </c>
      <c r="E41" s="48" t="s">
        <v>148</v>
      </c>
      <c r="F41" s="49">
        <v>-5</v>
      </c>
      <c r="G41" s="49">
        <v>162</v>
      </c>
      <c r="H41" s="49">
        <v>-5</v>
      </c>
      <c r="I41" s="49">
        <f t="shared" si="0"/>
        <v>-810</v>
      </c>
      <c r="J41" s="49">
        <f t="shared" si="1"/>
        <v>-121.5</v>
      </c>
      <c r="K41" s="122">
        <f t="shared" si="2"/>
        <v>-931.5</v>
      </c>
      <c r="L41" s="46" t="s">
        <v>68</v>
      </c>
      <c r="M41" s="10"/>
    </row>
    <row r="42" spans="1:13" x14ac:dyDescent="0.3">
      <c r="A42" s="47">
        <v>46000</v>
      </c>
      <c r="B42" s="48">
        <v>1173</v>
      </c>
      <c r="C42" s="48" t="s">
        <v>130</v>
      </c>
      <c r="D42" s="62" t="s">
        <v>32</v>
      </c>
      <c r="E42" s="48" t="s">
        <v>106</v>
      </c>
      <c r="F42" s="49">
        <v>-15</v>
      </c>
      <c r="G42" s="49">
        <v>406</v>
      </c>
      <c r="H42" s="49">
        <v>-15</v>
      </c>
      <c r="I42" s="49">
        <f t="shared" si="0"/>
        <v>-6090</v>
      </c>
      <c r="J42" s="49">
        <f t="shared" si="1"/>
        <v>-913.5</v>
      </c>
      <c r="K42" s="122">
        <f t="shared" si="2"/>
        <v>-7003.5</v>
      </c>
      <c r="L42" s="46" t="s">
        <v>68</v>
      </c>
      <c r="M42" s="95"/>
    </row>
    <row r="43" spans="1:13" x14ac:dyDescent="0.3">
      <c r="A43" s="2">
        <v>46001</v>
      </c>
      <c r="B43" s="5">
        <v>1174</v>
      </c>
      <c r="C43" s="5" t="s">
        <v>130</v>
      </c>
      <c r="D43" s="1" t="s">
        <v>149</v>
      </c>
      <c r="E43" s="5" t="s">
        <v>139</v>
      </c>
      <c r="F43" s="6">
        <v>10</v>
      </c>
      <c r="G43" s="6">
        <v>330</v>
      </c>
      <c r="H43" s="6">
        <v>10</v>
      </c>
      <c r="I43" s="6">
        <f t="shared" si="0"/>
        <v>3300</v>
      </c>
      <c r="J43" s="6">
        <f t="shared" si="1"/>
        <v>495</v>
      </c>
      <c r="K43" s="80">
        <f t="shared" si="2"/>
        <v>3795</v>
      </c>
      <c r="L43" s="91" t="s">
        <v>25</v>
      </c>
      <c r="M43" s="16"/>
    </row>
    <row r="44" spans="1:13" x14ac:dyDescent="0.3">
      <c r="A44" s="2">
        <v>46001</v>
      </c>
      <c r="B44" s="5">
        <v>1175</v>
      </c>
      <c r="C44" s="5" t="s">
        <v>131</v>
      </c>
      <c r="D44" s="5" t="s">
        <v>96</v>
      </c>
      <c r="E44" s="5" t="s">
        <v>140</v>
      </c>
      <c r="F44" s="6">
        <v>50</v>
      </c>
      <c r="G44" s="6">
        <v>340</v>
      </c>
      <c r="H44" s="6">
        <v>50</v>
      </c>
      <c r="I44" s="6">
        <f t="shared" si="0"/>
        <v>17000</v>
      </c>
      <c r="J44" s="6">
        <f t="shared" si="1"/>
        <v>2550</v>
      </c>
      <c r="K44" s="80">
        <f t="shared" si="2"/>
        <v>19550</v>
      </c>
      <c r="L44" s="91" t="s">
        <v>25</v>
      </c>
      <c r="M44" s="10"/>
    </row>
    <row r="45" spans="1:13" x14ac:dyDescent="0.3">
      <c r="A45" s="2">
        <v>46001</v>
      </c>
      <c r="B45" s="5">
        <v>1175</v>
      </c>
      <c r="C45" s="5" t="s">
        <v>131</v>
      </c>
      <c r="D45" s="5" t="s">
        <v>96</v>
      </c>
      <c r="E45" s="1" t="s">
        <v>138</v>
      </c>
      <c r="F45" s="6">
        <v>30</v>
      </c>
      <c r="G45" s="6">
        <v>413</v>
      </c>
      <c r="H45" s="6">
        <v>30</v>
      </c>
      <c r="I45" s="6">
        <f t="shared" si="0"/>
        <v>12390</v>
      </c>
      <c r="J45" s="6">
        <f t="shared" si="1"/>
        <v>1858.5</v>
      </c>
      <c r="K45" s="80">
        <f t="shared" si="2"/>
        <v>14248.5</v>
      </c>
      <c r="L45" s="91" t="s">
        <v>25</v>
      </c>
    </row>
    <row r="46" spans="1:13" x14ac:dyDescent="0.3">
      <c r="A46" s="2">
        <v>46001</v>
      </c>
      <c r="B46" s="5">
        <v>1175</v>
      </c>
      <c r="C46" s="5" t="s">
        <v>131</v>
      </c>
      <c r="D46" s="5" t="s">
        <v>96</v>
      </c>
      <c r="E46" s="1" t="s">
        <v>11</v>
      </c>
      <c r="F46" s="6">
        <v>20</v>
      </c>
      <c r="G46" s="6">
        <v>167</v>
      </c>
      <c r="H46" s="6">
        <v>20</v>
      </c>
      <c r="I46" s="6">
        <f t="shared" si="0"/>
        <v>3340</v>
      </c>
      <c r="J46" s="6">
        <f t="shared" si="1"/>
        <v>501</v>
      </c>
      <c r="K46" s="80">
        <f t="shared" si="2"/>
        <v>3841</v>
      </c>
      <c r="L46" s="91" t="s">
        <v>25</v>
      </c>
    </row>
    <row r="47" spans="1:13" x14ac:dyDescent="0.3">
      <c r="A47" s="2">
        <v>46001</v>
      </c>
      <c r="B47" s="5">
        <v>1176</v>
      </c>
      <c r="C47" s="5" t="s">
        <v>130</v>
      </c>
      <c r="D47" s="1" t="s">
        <v>32</v>
      </c>
      <c r="E47" s="5" t="s">
        <v>98</v>
      </c>
      <c r="F47" s="6">
        <v>18</v>
      </c>
      <c r="G47" s="6">
        <v>415</v>
      </c>
      <c r="H47" s="45">
        <v>18</v>
      </c>
      <c r="I47" s="6">
        <f t="shared" si="0"/>
        <v>7470</v>
      </c>
      <c r="J47" s="6">
        <f t="shared" si="1"/>
        <v>1120.5</v>
      </c>
      <c r="K47" s="3">
        <f t="shared" si="2"/>
        <v>8590.5</v>
      </c>
      <c r="L47" s="17" t="s">
        <v>104</v>
      </c>
    </row>
    <row r="48" spans="1:13" x14ac:dyDescent="0.3">
      <c r="A48" s="2">
        <v>46001</v>
      </c>
      <c r="B48" s="5">
        <v>1176</v>
      </c>
      <c r="C48" s="5" t="s">
        <v>130</v>
      </c>
      <c r="D48" s="1" t="s">
        <v>32</v>
      </c>
      <c r="E48" s="5" t="s">
        <v>106</v>
      </c>
      <c r="F48" s="6">
        <v>20</v>
      </c>
      <c r="G48" s="6">
        <v>408</v>
      </c>
      <c r="H48" s="45">
        <v>20</v>
      </c>
      <c r="I48" s="6">
        <f t="shared" si="0"/>
        <v>8160</v>
      </c>
      <c r="J48" s="6">
        <f t="shared" si="1"/>
        <v>1224</v>
      </c>
      <c r="K48" s="3">
        <f t="shared" si="2"/>
        <v>9384</v>
      </c>
      <c r="L48" s="17" t="s">
        <v>104</v>
      </c>
    </row>
    <row r="49" spans="1:13" x14ac:dyDescent="0.3">
      <c r="A49" s="47">
        <v>46004</v>
      </c>
      <c r="B49" s="48">
        <v>1193</v>
      </c>
      <c r="C49" s="48" t="s">
        <v>68</v>
      </c>
      <c r="D49" s="62" t="s">
        <v>32</v>
      </c>
      <c r="E49" s="48" t="s">
        <v>98</v>
      </c>
      <c r="F49" s="49">
        <v>-18</v>
      </c>
      <c r="G49" s="49">
        <v>415</v>
      </c>
      <c r="H49" s="50">
        <v>-18</v>
      </c>
      <c r="I49" s="49">
        <f t="shared" si="0"/>
        <v>-7470</v>
      </c>
      <c r="J49" s="49">
        <f t="shared" si="1"/>
        <v>-1120.5</v>
      </c>
      <c r="K49" s="122">
        <f t="shared" si="2"/>
        <v>-8590.5</v>
      </c>
      <c r="L49" s="17" t="s">
        <v>68</v>
      </c>
    </row>
    <row r="50" spans="1:13" x14ac:dyDescent="0.3">
      <c r="A50" s="47">
        <v>46004</v>
      </c>
      <c r="B50" s="48">
        <v>1193</v>
      </c>
      <c r="C50" s="48" t="s">
        <v>68</v>
      </c>
      <c r="D50" s="62" t="s">
        <v>32</v>
      </c>
      <c r="E50" s="48" t="s">
        <v>106</v>
      </c>
      <c r="F50" s="49">
        <v>-20</v>
      </c>
      <c r="G50" s="49">
        <v>408</v>
      </c>
      <c r="H50" s="50">
        <v>-20</v>
      </c>
      <c r="I50" s="49">
        <f t="shared" si="0"/>
        <v>-8160</v>
      </c>
      <c r="J50" s="49">
        <f t="shared" si="1"/>
        <v>-1224</v>
      </c>
      <c r="K50" s="122">
        <f t="shared" si="2"/>
        <v>-9384</v>
      </c>
      <c r="L50" s="17" t="s">
        <v>68</v>
      </c>
    </row>
    <row r="51" spans="1:13" x14ac:dyDescent="0.3">
      <c r="A51" s="2">
        <v>46001</v>
      </c>
      <c r="B51" s="5">
        <v>1177</v>
      </c>
      <c r="C51" s="5" t="s">
        <v>130</v>
      </c>
      <c r="D51" s="1" t="s">
        <v>150</v>
      </c>
      <c r="E51" s="5" t="s">
        <v>46</v>
      </c>
      <c r="F51" s="6">
        <v>10</v>
      </c>
      <c r="G51" s="6">
        <v>24.5</v>
      </c>
      <c r="H51" s="32">
        <v>215.12</v>
      </c>
      <c r="I51" s="6">
        <f t="shared" si="0"/>
        <v>5270.4400000000005</v>
      </c>
      <c r="J51" s="6">
        <f t="shared" si="1"/>
        <v>790.56600000000003</v>
      </c>
      <c r="K51" s="80">
        <f t="shared" si="2"/>
        <v>6061.0060000000003</v>
      </c>
      <c r="L51" s="91" t="s">
        <v>25</v>
      </c>
      <c r="M51" s="16"/>
    </row>
    <row r="52" spans="1:13" x14ac:dyDescent="0.3">
      <c r="A52" s="2">
        <v>46001</v>
      </c>
      <c r="B52" s="5">
        <v>1178</v>
      </c>
      <c r="C52" s="5" t="s">
        <v>130</v>
      </c>
      <c r="D52" s="5" t="s">
        <v>151</v>
      </c>
      <c r="E52" s="5" t="s">
        <v>140</v>
      </c>
      <c r="F52" s="6">
        <v>15</v>
      </c>
      <c r="G52" s="6">
        <v>337</v>
      </c>
      <c r="H52" s="45">
        <v>15</v>
      </c>
      <c r="I52" s="6">
        <f t="shared" si="0"/>
        <v>5055</v>
      </c>
      <c r="J52" s="6">
        <f t="shared" si="1"/>
        <v>758.25</v>
      </c>
      <c r="K52" s="80">
        <f t="shared" si="2"/>
        <v>5813.25</v>
      </c>
      <c r="L52" s="91" t="s">
        <v>25</v>
      </c>
      <c r="M52" s="16"/>
    </row>
    <row r="53" spans="1:13" x14ac:dyDescent="0.3">
      <c r="A53" s="2">
        <v>46001</v>
      </c>
      <c r="B53" s="5">
        <v>1179</v>
      </c>
      <c r="C53" s="5" t="s">
        <v>130</v>
      </c>
      <c r="D53" s="5" t="s">
        <v>82</v>
      </c>
      <c r="E53" s="5" t="s">
        <v>148</v>
      </c>
      <c r="F53" s="6">
        <v>50</v>
      </c>
      <c r="G53" s="6">
        <v>160</v>
      </c>
      <c r="H53" s="45">
        <v>50</v>
      </c>
      <c r="I53" s="6">
        <f t="shared" si="0"/>
        <v>8000</v>
      </c>
      <c r="J53" s="6">
        <f t="shared" si="1"/>
        <v>1200</v>
      </c>
      <c r="K53" s="80">
        <f t="shared" si="2"/>
        <v>9200</v>
      </c>
      <c r="L53" s="91" t="s">
        <v>25</v>
      </c>
      <c r="M53" s="129"/>
    </row>
    <row r="54" spans="1:13" x14ac:dyDescent="0.3">
      <c r="A54" s="2">
        <v>46001</v>
      </c>
      <c r="B54" s="5">
        <v>1179</v>
      </c>
      <c r="C54" s="5" t="s">
        <v>130</v>
      </c>
      <c r="D54" s="5" t="s">
        <v>82</v>
      </c>
      <c r="E54" s="5" t="s">
        <v>17</v>
      </c>
      <c r="F54" s="6">
        <v>25</v>
      </c>
      <c r="G54" s="6">
        <v>282</v>
      </c>
      <c r="H54" s="45">
        <v>25</v>
      </c>
      <c r="I54" s="6">
        <f t="shared" si="0"/>
        <v>7050</v>
      </c>
      <c r="J54" s="6">
        <f t="shared" si="1"/>
        <v>1057.5</v>
      </c>
      <c r="K54" s="80">
        <f t="shared" si="2"/>
        <v>8107.5</v>
      </c>
      <c r="L54" s="91" t="s">
        <v>25</v>
      </c>
      <c r="M54" s="130"/>
    </row>
    <row r="55" spans="1:13" x14ac:dyDescent="0.3">
      <c r="A55" s="2">
        <v>46001</v>
      </c>
      <c r="B55" s="5">
        <v>1180</v>
      </c>
      <c r="C55" s="5" t="s">
        <v>131</v>
      </c>
      <c r="D55" s="5" t="s">
        <v>144</v>
      </c>
      <c r="E55" s="1" t="s">
        <v>152</v>
      </c>
      <c r="F55" s="6">
        <v>874</v>
      </c>
      <c r="G55" s="6">
        <v>280</v>
      </c>
      <c r="H55" s="6">
        <v>874</v>
      </c>
      <c r="I55" s="6">
        <f t="shared" si="0"/>
        <v>244720</v>
      </c>
      <c r="J55" s="6">
        <f t="shared" si="1"/>
        <v>36708</v>
      </c>
      <c r="K55" s="80">
        <f t="shared" si="2"/>
        <v>281428</v>
      </c>
      <c r="L55" s="17" t="s">
        <v>25</v>
      </c>
    </row>
    <row r="56" spans="1:13" x14ac:dyDescent="0.3">
      <c r="A56" s="2">
        <v>46001</v>
      </c>
      <c r="B56" s="5">
        <v>1180</v>
      </c>
      <c r="C56" s="5" t="s">
        <v>131</v>
      </c>
      <c r="D56" s="1" t="s">
        <v>144</v>
      </c>
      <c r="E56" s="1" t="s">
        <v>153</v>
      </c>
      <c r="F56" s="6">
        <v>570</v>
      </c>
      <c r="G56" s="6">
        <v>320</v>
      </c>
      <c r="H56" s="6">
        <v>570</v>
      </c>
      <c r="I56" s="6">
        <f t="shared" si="0"/>
        <v>182400</v>
      </c>
      <c r="J56" s="6">
        <f t="shared" si="1"/>
        <v>27360</v>
      </c>
      <c r="K56" s="80">
        <f t="shared" si="2"/>
        <v>209760</v>
      </c>
      <c r="L56" s="17" t="s">
        <v>25</v>
      </c>
    </row>
    <row r="57" spans="1:13" x14ac:dyDescent="0.3">
      <c r="A57" s="2">
        <v>46001</v>
      </c>
      <c r="B57" s="5">
        <v>1181</v>
      </c>
      <c r="C57" s="5" t="s">
        <v>130</v>
      </c>
      <c r="D57" s="1" t="s">
        <v>41</v>
      </c>
      <c r="E57" s="1" t="s">
        <v>20</v>
      </c>
      <c r="F57" s="6">
        <v>5</v>
      </c>
      <c r="G57" s="6">
        <v>46</v>
      </c>
      <c r="H57" s="6">
        <v>69.37</v>
      </c>
      <c r="I57" s="6">
        <f t="shared" si="0"/>
        <v>3191.0200000000004</v>
      </c>
      <c r="J57" s="6">
        <f t="shared" si="1"/>
        <v>478.65300000000002</v>
      </c>
      <c r="K57" s="80">
        <f t="shared" si="2"/>
        <v>3669.6730000000007</v>
      </c>
      <c r="L57" s="91" t="s">
        <v>25</v>
      </c>
      <c r="M57" s="16"/>
    </row>
    <row r="58" spans="1:13" x14ac:dyDescent="0.3">
      <c r="A58" s="2">
        <v>46001</v>
      </c>
      <c r="B58" s="5">
        <v>1182</v>
      </c>
      <c r="C58" s="5" t="s">
        <v>130</v>
      </c>
      <c r="D58" s="1" t="s">
        <v>27</v>
      </c>
      <c r="E58" s="5" t="s">
        <v>20</v>
      </c>
      <c r="F58" s="6">
        <v>15</v>
      </c>
      <c r="G58" s="6">
        <v>46</v>
      </c>
      <c r="H58" s="6">
        <v>216.4</v>
      </c>
      <c r="I58" s="6">
        <f t="shared" si="0"/>
        <v>9954.4</v>
      </c>
      <c r="J58" s="6">
        <f t="shared" si="1"/>
        <v>1493.1599999999999</v>
      </c>
      <c r="K58" s="80">
        <f t="shared" si="2"/>
        <v>11447.56</v>
      </c>
      <c r="L58" s="91" t="s">
        <v>25</v>
      </c>
      <c r="M58" s="16"/>
    </row>
    <row r="59" spans="1:13" x14ac:dyDescent="0.3">
      <c r="A59" s="2">
        <v>46001</v>
      </c>
      <c r="B59" s="5">
        <v>1183</v>
      </c>
      <c r="C59" s="5" t="s">
        <v>130</v>
      </c>
      <c r="D59" s="1" t="s">
        <v>32</v>
      </c>
      <c r="E59" s="5" t="s">
        <v>98</v>
      </c>
      <c r="F59" s="6">
        <v>16</v>
      </c>
      <c r="G59" s="6">
        <v>415</v>
      </c>
      <c r="H59" s="6">
        <v>16</v>
      </c>
      <c r="I59" s="6">
        <f t="shared" si="0"/>
        <v>6640</v>
      </c>
      <c r="J59" s="6">
        <f t="shared" si="1"/>
        <v>996</v>
      </c>
      <c r="K59" s="80">
        <f t="shared" si="2"/>
        <v>7636</v>
      </c>
      <c r="L59" s="91" t="s">
        <v>25</v>
      </c>
      <c r="M59" s="95"/>
    </row>
    <row r="60" spans="1:13" x14ac:dyDescent="0.3">
      <c r="A60" s="2">
        <v>46001</v>
      </c>
      <c r="B60" s="5">
        <v>1183</v>
      </c>
      <c r="C60" s="5" t="s">
        <v>130</v>
      </c>
      <c r="D60" s="1" t="s">
        <v>32</v>
      </c>
      <c r="E60" s="5" t="s">
        <v>106</v>
      </c>
      <c r="F60" s="6">
        <v>20</v>
      </c>
      <c r="G60" s="6">
        <v>408</v>
      </c>
      <c r="H60" s="6">
        <v>20</v>
      </c>
      <c r="I60" s="6">
        <f t="shared" si="0"/>
        <v>8160</v>
      </c>
      <c r="J60" s="6">
        <f t="shared" si="1"/>
        <v>1224</v>
      </c>
      <c r="K60" s="80">
        <f t="shared" si="2"/>
        <v>9384</v>
      </c>
      <c r="L60" s="91" t="s">
        <v>25</v>
      </c>
      <c r="M60" s="95"/>
    </row>
    <row r="61" spans="1:13" x14ac:dyDescent="0.3">
      <c r="A61" s="2">
        <v>46001</v>
      </c>
      <c r="B61" s="5">
        <v>1184</v>
      </c>
      <c r="C61" s="5" t="s">
        <v>131</v>
      </c>
      <c r="D61" s="5" t="s">
        <v>86</v>
      </c>
      <c r="E61" s="5" t="s">
        <v>11</v>
      </c>
      <c r="F61" s="6">
        <v>50</v>
      </c>
      <c r="G61" s="6">
        <v>167</v>
      </c>
      <c r="H61" s="6">
        <v>50</v>
      </c>
      <c r="I61" s="6">
        <f t="shared" si="0"/>
        <v>8350</v>
      </c>
      <c r="J61" s="6">
        <f t="shared" si="1"/>
        <v>1252.5</v>
      </c>
      <c r="K61" s="80">
        <f>I61+J61</f>
        <v>9602.5</v>
      </c>
      <c r="L61" s="91" t="s">
        <v>25</v>
      </c>
      <c r="M61" s="10"/>
    </row>
    <row r="62" spans="1:13" x14ac:dyDescent="0.3">
      <c r="A62" s="2">
        <v>46001</v>
      </c>
      <c r="B62" s="5">
        <v>1184</v>
      </c>
      <c r="C62" s="5" t="s">
        <v>131</v>
      </c>
      <c r="D62" s="5" t="s">
        <v>86</v>
      </c>
      <c r="E62" s="5" t="s">
        <v>46</v>
      </c>
      <c r="F62" s="6">
        <v>25</v>
      </c>
      <c r="G62" s="6">
        <v>24.5</v>
      </c>
      <c r="H62" s="6">
        <v>541.89</v>
      </c>
      <c r="I62" s="6">
        <f t="shared" si="0"/>
        <v>13276.305</v>
      </c>
      <c r="J62" s="6">
        <f t="shared" si="1"/>
        <v>1991.4457499999999</v>
      </c>
      <c r="K62" s="80">
        <f t="shared" si="2"/>
        <v>15267.750749999999</v>
      </c>
      <c r="L62" s="91" t="s">
        <v>25</v>
      </c>
    </row>
    <row r="63" spans="1:13" x14ac:dyDescent="0.3">
      <c r="A63" s="2">
        <v>46001</v>
      </c>
      <c r="B63" s="5">
        <v>1184</v>
      </c>
      <c r="C63" s="5" t="s">
        <v>131</v>
      </c>
      <c r="D63" s="5" t="s">
        <v>86</v>
      </c>
      <c r="E63" s="5" t="s">
        <v>20</v>
      </c>
      <c r="F63" s="6">
        <v>15</v>
      </c>
      <c r="G63" s="6">
        <v>46</v>
      </c>
      <c r="H63" s="6">
        <v>213.64</v>
      </c>
      <c r="I63" s="6">
        <f t="shared" si="0"/>
        <v>9827.4399999999987</v>
      </c>
      <c r="J63" s="6">
        <f t="shared" si="1"/>
        <v>1474.1159999999998</v>
      </c>
      <c r="K63" s="80">
        <f t="shared" si="2"/>
        <v>11301.555999999999</v>
      </c>
      <c r="L63" s="91" t="s">
        <v>25</v>
      </c>
      <c r="M63" s="10"/>
    </row>
    <row r="64" spans="1:13" x14ac:dyDescent="0.3">
      <c r="A64" s="47">
        <v>46004</v>
      </c>
      <c r="B64" s="48">
        <v>1192</v>
      </c>
      <c r="C64" s="48" t="s">
        <v>131</v>
      </c>
      <c r="D64" s="48" t="s">
        <v>86</v>
      </c>
      <c r="E64" s="48" t="s">
        <v>11</v>
      </c>
      <c r="F64" s="49">
        <v>-20</v>
      </c>
      <c r="G64" s="49">
        <v>167</v>
      </c>
      <c r="H64" s="49">
        <v>-20</v>
      </c>
      <c r="I64" s="49">
        <f t="shared" si="0"/>
        <v>-3340</v>
      </c>
      <c r="J64" s="49">
        <f t="shared" si="1"/>
        <v>-501</v>
      </c>
      <c r="K64" s="122">
        <f t="shared" si="2"/>
        <v>-3841</v>
      </c>
      <c r="L64" s="46" t="s">
        <v>158</v>
      </c>
      <c r="M64" s="10"/>
    </row>
    <row r="65" spans="1:13" x14ac:dyDescent="0.3">
      <c r="A65" s="2">
        <v>46001</v>
      </c>
      <c r="B65" s="5">
        <v>1185</v>
      </c>
      <c r="C65" s="5" t="s">
        <v>131</v>
      </c>
      <c r="D65" s="5" t="s">
        <v>154</v>
      </c>
      <c r="E65" s="5" t="s">
        <v>139</v>
      </c>
      <c r="F65" s="6">
        <v>50</v>
      </c>
      <c r="G65" s="6">
        <v>330</v>
      </c>
      <c r="H65" s="90">
        <v>50</v>
      </c>
      <c r="I65" s="6">
        <f t="shared" si="0"/>
        <v>16500</v>
      </c>
      <c r="J65" s="6">
        <f t="shared" si="1"/>
        <v>2475</v>
      </c>
      <c r="K65" s="80">
        <f t="shared" si="2"/>
        <v>18975</v>
      </c>
      <c r="L65" s="91" t="s">
        <v>25</v>
      </c>
      <c r="M65" s="16"/>
    </row>
    <row r="66" spans="1:13" x14ac:dyDescent="0.3">
      <c r="A66" s="2">
        <v>46002</v>
      </c>
      <c r="B66" s="5">
        <v>1186</v>
      </c>
      <c r="C66" s="5" t="s">
        <v>130</v>
      </c>
      <c r="D66" s="5" t="s">
        <v>42</v>
      </c>
      <c r="E66" s="5" t="s">
        <v>148</v>
      </c>
      <c r="F66" s="6">
        <v>100</v>
      </c>
      <c r="G66" s="6">
        <v>165</v>
      </c>
      <c r="H66" s="6">
        <v>100</v>
      </c>
      <c r="I66" s="6">
        <f t="shared" si="0"/>
        <v>16500</v>
      </c>
      <c r="J66" s="6">
        <f t="shared" si="1"/>
        <v>2475</v>
      </c>
      <c r="K66" s="3">
        <f t="shared" si="2"/>
        <v>18975</v>
      </c>
      <c r="L66" s="17" t="s">
        <v>104</v>
      </c>
    </row>
    <row r="67" spans="1:13" x14ac:dyDescent="0.3">
      <c r="A67" s="2"/>
      <c r="B67" s="48">
        <v>1209</v>
      </c>
      <c r="C67" s="48" t="s">
        <v>130</v>
      </c>
      <c r="D67" s="48" t="s">
        <v>42</v>
      </c>
      <c r="E67" s="48" t="s">
        <v>148</v>
      </c>
      <c r="F67" s="49">
        <v>-100</v>
      </c>
      <c r="G67" s="49">
        <v>165</v>
      </c>
      <c r="H67" s="49">
        <v>-100</v>
      </c>
      <c r="I67" s="49">
        <f t="shared" si="0"/>
        <v>-16500</v>
      </c>
      <c r="J67" s="49">
        <f t="shared" si="1"/>
        <v>-2475</v>
      </c>
      <c r="K67" s="122">
        <f t="shared" si="2"/>
        <v>-18975</v>
      </c>
      <c r="L67" s="46" t="s">
        <v>175</v>
      </c>
    </row>
    <row r="68" spans="1:13" x14ac:dyDescent="0.3">
      <c r="A68" s="2">
        <v>46002</v>
      </c>
      <c r="B68" s="5">
        <v>1187</v>
      </c>
      <c r="C68" s="5" t="s">
        <v>130</v>
      </c>
      <c r="D68" s="1" t="s">
        <v>150</v>
      </c>
      <c r="E68" s="5" t="s">
        <v>46</v>
      </c>
      <c r="F68" s="6"/>
      <c r="G68" s="6">
        <v>24.5</v>
      </c>
      <c r="H68" s="6">
        <v>127.48</v>
      </c>
      <c r="I68" s="6">
        <f t="shared" si="0"/>
        <v>3123.26</v>
      </c>
      <c r="J68" s="6">
        <f t="shared" si="1"/>
        <v>468.48900000000003</v>
      </c>
      <c r="K68" s="80">
        <f t="shared" si="2"/>
        <v>3591.7490000000003</v>
      </c>
      <c r="L68" s="91" t="s">
        <v>25</v>
      </c>
      <c r="M68" s="16"/>
    </row>
    <row r="69" spans="1:13" x14ac:dyDescent="0.3">
      <c r="A69" s="2">
        <v>46002</v>
      </c>
      <c r="B69" s="143">
        <v>1188</v>
      </c>
      <c r="C69" s="5" t="s">
        <v>130</v>
      </c>
      <c r="D69" s="5" t="s">
        <v>32</v>
      </c>
      <c r="E69" s="5" t="s">
        <v>11</v>
      </c>
      <c r="F69" s="6">
        <v>50</v>
      </c>
      <c r="G69" s="6">
        <v>167</v>
      </c>
      <c r="H69" s="6">
        <v>50</v>
      </c>
      <c r="I69" s="6">
        <f t="shared" si="0"/>
        <v>8350</v>
      </c>
      <c r="J69" s="6">
        <f t="shared" si="1"/>
        <v>1252.5</v>
      </c>
      <c r="K69" s="119">
        <f t="shared" si="2"/>
        <v>9602.5</v>
      </c>
      <c r="L69" s="112" t="s">
        <v>25</v>
      </c>
      <c r="M69" s="120"/>
    </row>
    <row r="70" spans="1:13" x14ac:dyDescent="0.3">
      <c r="A70" s="2">
        <v>46002</v>
      </c>
      <c r="B70" s="143">
        <v>1188</v>
      </c>
      <c r="C70" s="5" t="s">
        <v>130</v>
      </c>
      <c r="D70" s="5" t="s">
        <v>32</v>
      </c>
      <c r="E70" s="5" t="s">
        <v>155</v>
      </c>
      <c r="F70" s="6">
        <v>5</v>
      </c>
      <c r="G70" s="6">
        <v>648</v>
      </c>
      <c r="H70" s="6">
        <v>5</v>
      </c>
      <c r="I70" s="6">
        <f t="shared" si="0"/>
        <v>3240</v>
      </c>
      <c r="J70" s="6">
        <f t="shared" si="1"/>
        <v>486</v>
      </c>
      <c r="K70" s="119">
        <f t="shared" si="2"/>
        <v>3726</v>
      </c>
      <c r="L70" s="112" t="s">
        <v>25</v>
      </c>
      <c r="M70" s="113"/>
    </row>
    <row r="71" spans="1:13" x14ac:dyDescent="0.3">
      <c r="A71" s="2">
        <v>46002</v>
      </c>
      <c r="B71" s="143">
        <v>1188</v>
      </c>
      <c r="C71" s="5" t="s">
        <v>130</v>
      </c>
      <c r="D71" s="5" t="s">
        <v>32</v>
      </c>
      <c r="E71" s="5" t="s">
        <v>201</v>
      </c>
      <c r="F71" s="6">
        <v>20</v>
      </c>
      <c r="G71" s="6">
        <v>286</v>
      </c>
      <c r="H71" s="6">
        <v>20</v>
      </c>
      <c r="I71" s="6">
        <f t="shared" ref="I71:I165" si="3">H71*G71</f>
        <v>5720</v>
      </c>
      <c r="J71" s="6">
        <f t="shared" si="1"/>
        <v>858</v>
      </c>
      <c r="K71" s="119">
        <f t="shared" si="2"/>
        <v>6578</v>
      </c>
      <c r="L71" s="112" t="s">
        <v>25</v>
      </c>
      <c r="M71" s="120"/>
    </row>
    <row r="72" spans="1:13" x14ac:dyDescent="0.3">
      <c r="A72" s="2">
        <v>46002</v>
      </c>
      <c r="B72" s="5">
        <v>1189</v>
      </c>
      <c r="C72" s="5" t="s">
        <v>130</v>
      </c>
      <c r="D72" s="5" t="s">
        <v>128</v>
      </c>
      <c r="E72" s="5" t="s">
        <v>156</v>
      </c>
      <c r="F72" s="6">
        <v>6</v>
      </c>
      <c r="G72" s="6">
        <v>450</v>
      </c>
      <c r="H72" s="6">
        <v>6</v>
      </c>
      <c r="I72" s="6">
        <f t="shared" si="3"/>
        <v>2700</v>
      </c>
      <c r="J72" s="6">
        <f t="shared" si="1"/>
        <v>405</v>
      </c>
      <c r="K72" s="80">
        <f t="shared" si="2"/>
        <v>3105</v>
      </c>
      <c r="L72" s="91" t="s">
        <v>25</v>
      </c>
      <c r="M72" s="95"/>
    </row>
    <row r="73" spans="1:13" x14ac:dyDescent="0.3">
      <c r="A73" s="2">
        <v>46002</v>
      </c>
      <c r="B73" s="5">
        <v>1190</v>
      </c>
      <c r="C73" s="5" t="s">
        <v>130</v>
      </c>
      <c r="D73" s="5" t="s">
        <v>123</v>
      </c>
      <c r="E73" s="5" t="s">
        <v>155</v>
      </c>
      <c r="F73" s="6">
        <v>5</v>
      </c>
      <c r="G73" s="6">
        <v>684</v>
      </c>
      <c r="H73" s="6">
        <v>5</v>
      </c>
      <c r="I73" s="6">
        <f t="shared" si="3"/>
        <v>3420</v>
      </c>
      <c r="J73" s="6">
        <f t="shared" si="1"/>
        <v>513</v>
      </c>
      <c r="K73" s="80">
        <f t="shared" si="2"/>
        <v>3933</v>
      </c>
      <c r="L73" s="91" t="s">
        <v>25</v>
      </c>
      <c r="M73" s="95"/>
    </row>
    <row r="74" spans="1:13" x14ac:dyDescent="0.3">
      <c r="A74" s="2">
        <v>46002</v>
      </c>
      <c r="B74" s="5">
        <v>1190</v>
      </c>
      <c r="C74" s="5" t="s">
        <v>130</v>
      </c>
      <c r="D74" s="5" t="s">
        <v>123</v>
      </c>
      <c r="E74" s="5" t="s">
        <v>157</v>
      </c>
      <c r="F74" s="6">
        <v>15</v>
      </c>
      <c r="G74" s="6">
        <v>765</v>
      </c>
      <c r="H74" s="6">
        <v>15</v>
      </c>
      <c r="I74" s="6">
        <f t="shared" si="3"/>
        <v>11475</v>
      </c>
      <c r="J74" s="6">
        <f t="shared" si="1"/>
        <v>1721.25</v>
      </c>
      <c r="K74" s="80">
        <f t="shared" si="2"/>
        <v>13196.25</v>
      </c>
      <c r="L74" s="91" t="s">
        <v>25</v>
      </c>
      <c r="M74" s="95"/>
    </row>
    <row r="75" spans="1:13" x14ac:dyDescent="0.3">
      <c r="A75" s="2">
        <v>46002</v>
      </c>
      <c r="B75" s="143">
        <v>1191</v>
      </c>
      <c r="C75" s="5" t="s">
        <v>130</v>
      </c>
      <c r="D75" s="5" t="s">
        <v>41</v>
      </c>
      <c r="E75" s="1" t="s">
        <v>138</v>
      </c>
      <c r="F75" s="6">
        <v>75</v>
      </c>
      <c r="G75" s="6">
        <v>410</v>
      </c>
      <c r="H75" s="6">
        <v>75</v>
      </c>
      <c r="I75" s="6">
        <f t="shared" si="3"/>
        <v>30750</v>
      </c>
      <c r="J75" s="6">
        <f t="shared" si="1"/>
        <v>4612.5</v>
      </c>
      <c r="K75" s="119">
        <f t="shared" si="2"/>
        <v>35362.5</v>
      </c>
      <c r="L75" s="112" t="s">
        <v>25</v>
      </c>
      <c r="M75" s="120"/>
    </row>
    <row r="76" spans="1:13" x14ac:dyDescent="0.3">
      <c r="A76" s="2">
        <v>46004</v>
      </c>
      <c r="B76" s="5">
        <v>1194</v>
      </c>
      <c r="C76" s="5" t="s">
        <v>130</v>
      </c>
      <c r="D76" s="1" t="s">
        <v>151</v>
      </c>
      <c r="E76" s="5" t="s">
        <v>164</v>
      </c>
      <c r="F76" s="6">
        <v>20</v>
      </c>
      <c r="G76" s="6">
        <v>290</v>
      </c>
      <c r="H76" s="6">
        <v>20</v>
      </c>
      <c r="I76" s="6">
        <f t="shared" si="3"/>
        <v>5800</v>
      </c>
      <c r="J76" s="6">
        <f t="shared" si="1"/>
        <v>870</v>
      </c>
      <c r="K76" s="80">
        <f t="shared" si="2"/>
        <v>6670</v>
      </c>
      <c r="L76" s="91" t="s">
        <v>25</v>
      </c>
      <c r="M76" s="16"/>
    </row>
    <row r="77" spans="1:13" x14ac:dyDescent="0.3">
      <c r="A77" s="2">
        <v>46004</v>
      </c>
      <c r="B77" s="5">
        <v>1195</v>
      </c>
      <c r="C77" s="5" t="s">
        <v>130</v>
      </c>
      <c r="D77" s="1" t="s">
        <v>150</v>
      </c>
      <c r="E77" s="5" t="s">
        <v>46</v>
      </c>
      <c r="F77" s="6">
        <v>13</v>
      </c>
      <c r="G77" s="6">
        <v>25</v>
      </c>
      <c r="H77" s="6">
        <v>280.01</v>
      </c>
      <c r="I77" s="6">
        <f t="shared" si="3"/>
        <v>7000.25</v>
      </c>
      <c r="J77" s="6">
        <f t="shared" si="1"/>
        <v>1050.0374999999999</v>
      </c>
      <c r="K77" s="80">
        <f t="shared" si="2"/>
        <v>8050.2875000000004</v>
      </c>
      <c r="L77" s="91" t="s">
        <v>25</v>
      </c>
      <c r="M77" s="16"/>
    </row>
    <row r="78" spans="1:13" x14ac:dyDescent="0.3">
      <c r="A78" s="2">
        <v>46004</v>
      </c>
      <c r="B78" s="5">
        <v>1196</v>
      </c>
      <c r="C78" s="5" t="s">
        <v>130</v>
      </c>
      <c r="D78" s="5" t="s">
        <v>123</v>
      </c>
      <c r="E78" s="5" t="s">
        <v>162</v>
      </c>
      <c r="F78" s="6">
        <v>10</v>
      </c>
      <c r="G78" s="6">
        <v>680</v>
      </c>
      <c r="H78" s="6">
        <v>10</v>
      </c>
      <c r="I78" s="6">
        <f t="shared" si="3"/>
        <v>6800</v>
      </c>
      <c r="J78" s="6">
        <f t="shared" si="1"/>
        <v>1020</v>
      </c>
      <c r="K78" s="80">
        <f t="shared" si="2"/>
        <v>7820</v>
      </c>
      <c r="L78" s="91" t="s">
        <v>25</v>
      </c>
      <c r="M78" s="16"/>
    </row>
    <row r="79" spans="1:13" x14ac:dyDescent="0.3">
      <c r="A79" s="2">
        <v>46004</v>
      </c>
      <c r="B79" s="5">
        <v>1196</v>
      </c>
      <c r="C79" s="5" t="s">
        <v>130</v>
      </c>
      <c r="D79" s="1" t="s">
        <v>123</v>
      </c>
      <c r="E79" s="5" t="s">
        <v>157</v>
      </c>
      <c r="F79" s="6">
        <v>7</v>
      </c>
      <c r="G79" s="6">
        <v>774</v>
      </c>
      <c r="H79" s="6">
        <v>7</v>
      </c>
      <c r="I79" s="6">
        <f t="shared" si="3"/>
        <v>5418</v>
      </c>
      <c r="J79" s="6">
        <f t="shared" si="1"/>
        <v>812.69999999999993</v>
      </c>
      <c r="K79" s="80">
        <f t="shared" si="2"/>
        <v>6230.7</v>
      </c>
      <c r="L79" s="91" t="s">
        <v>25</v>
      </c>
      <c r="M79" s="95"/>
    </row>
    <row r="80" spans="1:13" x14ac:dyDescent="0.3">
      <c r="A80" s="2">
        <v>46005</v>
      </c>
      <c r="B80" s="5">
        <v>1198</v>
      </c>
      <c r="C80" s="5" t="s">
        <v>130</v>
      </c>
      <c r="D80" s="1" t="s">
        <v>150</v>
      </c>
      <c r="E80" s="5" t="s">
        <v>46</v>
      </c>
      <c r="F80" s="6">
        <v>8</v>
      </c>
      <c r="G80" s="6">
        <v>25</v>
      </c>
      <c r="H80" s="6">
        <v>190.38</v>
      </c>
      <c r="I80" s="6">
        <f t="shared" si="3"/>
        <v>4759.5</v>
      </c>
      <c r="J80" s="6">
        <f t="shared" si="1"/>
        <v>713.92499999999995</v>
      </c>
      <c r="K80" s="80">
        <f t="shared" si="2"/>
        <v>5473.4250000000002</v>
      </c>
      <c r="L80" s="91" t="s">
        <v>25</v>
      </c>
      <c r="M80" s="95"/>
    </row>
    <row r="81" spans="1:13" x14ac:dyDescent="0.3">
      <c r="A81" s="2">
        <v>46005</v>
      </c>
      <c r="B81" s="5">
        <v>1198</v>
      </c>
      <c r="C81" s="5" t="s">
        <v>130</v>
      </c>
      <c r="D81" s="5" t="s">
        <v>150</v>
      </c>
      <c r="E81" s="5" t="s">
        <v>139</v>
      </c>
      <c r="F81" s="6">
        <v>1</v>
      </c>
      <c r="G81" s="6">
        <v>337</v>
      </c>
      <c r="H81" s="6">
        <v>1</v>
      </c>
      <c r="I81" s="6">
        <f t="shared" si="3"/>
        <v>337</v>
      </c>
      <c r="J81" s="6">
        <f t="shared" si="1"/>
        <v>50.55</v>
      </c>
      <c r="K81" s="80">
        <f t="shared" si="2"/>
        <v>387.55</v>
      </c>
      <c r="L81" s="91" t="s">
        <v>25</v>
      </c>
      <c r="M81" s="95"/>
    </row>
    <row r="82" spans="1:13" x14ac:dyDescent="0.3">
      <c r="A82" s="2">
        <v>46005</v>
      </c>
      <c r="B82" s="5">
        <v>1199</v>
      </c>
      <c r="C82" s="5" t="s">
        <v>130</v>
      </c>
      <c r="D82" s="5" t="s">
        <v>143</v>
      </c>
      <c r="E82" s="5" t="s">
        <v>11</v>
      </c>
      <c r="F82" s="6">
        <v>100</v>
      </c>
      <c r="G82" s="6">
        <v>165</v>
      </c>
      <c r="H82" s="6">
        <v>100</v>
      </c>
      <c r="I82" s="6">
        <f t="shared" si="3"/>
        <v>16500</v>
      </c>
      <c r="J82" s="6">
        <f t="shared" si="1"/>
        <v>2475</v>
      </c>
      <c r="K82" s="80">
        <f>I82+J82</f>
        <v>18975</v>
      </c>
      <c r="L82" s="91" t="s">
        <v>25</v>
      </c>
      <c r="M82" s="16"/>
    </row>
    <row r="83" spans="1:13" x14ac:dyDescent="0.3">
      <c r="A83" s="2">
        <v>46005</v>
      </c>
      <c r="B83" s="5">
        <v>1200</v>
      </c>
      <c r="C83" s="5" t="s">
        <v>130</v>
      </c>
      <c r="D83" s="5" t="s">
        <v>89</v>
      </c>
      <c r="E83" s="5" t="s">
        <v>156</v>
      </c>
      <c r="F83" s="6">
        <v>25</v>
      </c>
      <c r="G83" s="6">
        <v>442</v>
      </c>
      <c r="H83" s="6">
        <v>25</v>
      </c>
      <c r="I83" s="6">
        <f t="shared" si="3"/>
        <v>11050</v>
      </c>
      <c r="J83" s="6">
        <f t="shared" si="1"/>
        <v>1657.5</v>
      </c>
      <c r="K83" s="80">
        <f t="shared" si="2"/>
        <v>12707.5</v>
      </c>
      <c r="L83" s="91" t="s">
        <v>25</v>
      </c>
      <c r="M83" s="16"/>
    </row>
    <row r="84" spans="1:13" x14ac:dyDescent="0.3">
      <c r="A84" s="2">
        <v>46005</v>
      </c>
      <c r="B84" s="5">
        <v>1201</v>
      </c>
      <c r="C84" s="5" t="s">
        <v>130</v>
      </c>
      <c r="D84" s="5" t="s">
        <v>89</v>
      </c>
      <c r="E84" s="5" t="s">
        <v>17</v>
      </c>
      <c r="F84" s="6">
        <v>10</v>
      </c>
      <c r="G84" s="6">
        <v>290</v>
      </c>
      <c r="H84" s="6">
        <v>10</v>
      </c>
      <c r="I84" s="6">
        <f t="shared" si="3"/>
        <v>2900</v>
      </c>
      <c r="J84" s="6">
        <f t="shared" si="1"/>
        <v>435</v>
      </c>
      <c r="K84" s="119">
        <f t="shared" si="2"/>
        <v>3335</v>
      </c>
      <c r="L84" s="112" t="s">
        <v>25</v>
      </c>
      <c r="M84" s="113"/>
    </row>
    <row r="85" spans="1:13" x14ac:dyDescent="0.3">
      <c r="A85" s="2">
        <v>46005</v>
      </c>
      <c r="B85" s="143">
        <v>1202</v>
      </c>
      <c r="C85" s="5" t="s">
        <v>130</v>
      </c>
      <c r="D85" s="5" t="s">
        <v>88</v>
      </c>
      <c r="E85" s="5" t="s">
        <v>11</v>
      </c>
      <c r="F85" s="6">
        <v>30</v>
      </c>
      <c r="G85" s="6">
        <v>167</v>
      </c>
      <c r="H85" s="6">
        <v>30</v>
      </c>
      <c r="I85" s="6">
        <f t="shared" si="3"/>
        <v>5010</v>
      </c>
      <c r="J85" s="6">
        <f t="shared" si="1"/>
        <v>751.5</v>
      </c>
      <c r="K85" s="119">
        <f t="shared" si="2"/>
        <v>5761.5</v>
      </c>
      <c r="L85" s="112" t="s">
        <v>25</v>
      </c>
      <c r="M85" s="113"/>
    </row>
    <row r="86" spans="1:13" x14ac:dyDescent="0.3">
      <c r="A86" s="2">
        <v>46006</v>
      </c>
      <c r="B86" s="5">
        <v>1203</v>
      </c>
      <c r="C86" s="5" t="s">
        <v>130</v>
      </c>
      <c r="D86" s="5" t="s">
        <v>128</v>
      </c>
      <c r="E86" s="5" t="s">
        <v>156</v>
      </c>
      <c r="F86" s="6">
        <v>8</v>
      </c>
      <c r="G86" s="6">
        <v>450</v>
      </c>
      <c r="H86" s="6">
        <v>8</v>
      </c>
      <c r="I86" s="6">
        <f t="shared" si="3"/>
        <v>3600</v>
      </c>
      <c r="J86" s="6">
        <f t="shared" si="1"/>
        <v>540</v>
      </c>
      <c r="K86" s="80">
        <f t="shared" si="2"/>
        <v>4140</v>
      </c>
      <c r="L86" s="91" t="s">
        <v>25</v>
      </c>
      <c r="M86" s="16"/>
    </row>
    <row r="87" spans="1:13" x14ac:dyDescent="0.3">
      <c r="A87" s="2">
        <v>46006</v>
      </c>
      <c r="B87" s="5">
        <v>1204</v>
      </c>
      <c r="C87" s="5" t="s">
        <v>130</v>
      </c>
      <c r="D87" s="1" t="s">
        <v>150</v>
      </c>
      <c r="E87" s="5" t="s">
        <v>46</v>
      </c>
      <c r="F87" s="6">
        <v>13</v>
      </c>
      <c r="G87" s="6">
        <v>25</v>
      </c>
      <c r="H87" s="6">
        <v>288.17</v>
      </c>
      <c r="I87" s="6">
        <f t="shared" si="3"/>
        <v>7204.25</v>
      </c>
      <c r="J87" s="6">
        <f t="shared" si="1"/>
        <v>1080.6375</v>
      </c>
      <c r="K87" s="80">
        <f t="shared" si="2"/>
        <v>8284.8875000000007</v>
      </c>
      <c r="L87" s="91" t="s">
        <v>25</v>
      </c>
      <c r="M87" s="16"/>
    </row>
    <row r="88" spans="1:13" x14ac:dyDescent="0.3">
      <c r="A88" s="2">
        <v>46006</v>
      </c>
      <c r="B88" s="143">
        <v>1205</v>
      </c>
      <c r="C88" s="5" t="s">
        <v>130</v>
      </c>
      <c r="D88" s="5" t="s">
        <v>76</v>
      </c>
      <c r="E88" s="5" t="s">
        <v>156</v>
      </c>
      <c r="F88" s="6">
        <v>5</v>
      </c>
      <c r="G88" s="6">
        <v>440</v>
      </c>
      <c r="H88" s="6">
        <v>5</v>
      </c>
      <c r="I88" s="6">
        <f t="shared" si="3"/>
        <v>2200</v>
      </c>
      <c r="J88" s="6">
        <f t="shared" si="1"/>
        <v>330</v>
      </c>
      <c r="K88" s="134">
        <f t="shared" si="2"/>
        <v>2530</v>
      </c>
      <c r="L88" s="112" t="s">
        <v>25</v>
      </c>
      <c r="M88" s="120"/>
    </row>
    <row r="89" spans="1:13" x14ac:dyDescent="0.3">
      <c r="A89" s="2">
        <v>46006</v>
      </c>
      <c r="B89" s="143">
        <v>1205</v>
      </c>
      <c r="C89" s="5" t="s">
        <v>130</v>
      </c>
      <c r="D89" s="5" t="s">
        <v>76</v>
      </c>
      <c r="E89" s="5" t="s">
        <v>164</v>
      </c>
      <c r="F89" s="6">
        <v>10</v>
      </c>
      <c r="G89" s="6">
        <v>290</v>
      </c>
      <c r="H89" s="6">
        <v>10</v>
      </c>
      <c r="I89" s="6">
        <f t="shared" si="3"/>
        <v>2900</v>
      </c>
      <c r="J89" s="6">
        <f t="shared" si="1"/>
        <v>435</v>
      </c>
      <c r="K89" s="134">
        <f t="shared" si="2"/>
        <v>3335</v>
      </c>
      <c r="L89" s="112" t="s">
        <v>25</v>
      </c>
      <c r="M89" s="120"/>
    </row>
    <row r="90" spans="1:13" x14ac:dyDescent="0.3">
      <c r="A90" s="2">
        <v>46006</v>
      </c>
      <c r="B90" s="143">
        <v>1205</v>
      </c>
      <c r="C90" s="5" t="s">
        <v>130</v>
      </c>
      <c r="D90" s="5" t="s">
        <v>76</v>
      </c>
      <c r="E90" s="5" t="s">
        <v>121</v>
      </c>
      <c r="F90" s="6">
        <v>120</v>
      </c>
      <c r="G90" s="6">
        <v>43.5</v>
      </c>
      <c r="H90" s="6">
        <v>120</v>
      </c>
      <c r="I90" s="6">
        <f t="shared" si="3"/>
        <v>5220</v>
      </c>
      <c r="J90" s="6">
        <f t="shared" si="1"/>
        <v>783</v>
      </c>
      <c r="K90" s="134">
        <f t="shared" si="2"/>
        <v>6003</v>
      </c>
      <c r="L90" s="112" t="s">
        <v>25</v>
      </c>
      <c r="M90" s="120"/>
    </row>
    <row r="91" spans="1:13" x14ac:dyDescent="0.3">
      <c r="A91" s="2">
        <v>46006</v>
      </c>
      <c r="B91" s="143">
        <v>1205</v>
      </c>
      <c r="C91" s="5" t="s">
        <v>130</v>
      </c>
      <c r="D91" s="5" t="s">
        <v>76</v>
      </c>
      <c r="E91" s="5" t="s">
        <v>148</v>
      </c>
      <c r="F91" s="6">
        <v>10</v>
      </c>
      <c r="G91" s="6">
        <v>162</v>
      </c>
      <c r="H91" s="6">
        <v>10</v>
      </c>
      <c r="I91" s="6">
        <f t="shared" si="3"/>
        <v>1620</v>
      </c>
      <c r="J91" s="6">
        <f t="shared" si="1"/>
        <v>243</v>
      </c>
      <c r="K91" s="134">
        <f t="shared" si="2"/>
        <v>1863</v>
      </c>
      <c r="L91" s="112" t="s">
        <v>25</v>
      </c>
      <c r="M91" s="120"/>
    </row>
    <row r="92" spans="1:13" x14ac:dyDescent="0.3">
      <c r="A92" s="2">
        <v>46006</v>
      </c>
      <c r="B92" s="5">
        <v>1206</v>
      </c>
      <c r="C92" s="5" t="s">
        <v>130</v>
      </c>
      <c r="D92" s="1" t="s">
        <v>123</v>
      </c>
      <c r="E92" s="5" t="s">
        <v>189</v>
      </c>
      <c r="F92" s="6">
        <v>30</v>
      </c>
      <c r="G92" s="6">
        <v>774</v>
      </c>
      <c r="H92" s="6">
        <v>30</v>
      </c>
      <c r="I92" s="6">
        <f t="shared" si="3"/>
        <v>23220</v>
      </c>
      <c r="J92" s="6">
        <f t="shared" si="1"/>
        <v>3483</v>
      </c>
      <c r="K92" s="80">
        <f t="shared" si="2"/>
        <v>26703</v>
      </c>
      <c r="L92" s="91" t="s">
        <v>25</v>
      </c>
      <c r="M92" s="10"/>
    </row>
    <row r="93" spans="1:13" x14ac:dyDescent="0.3">
      <c r="A93" s="2">
        <v>46006</v>
      </c>
      <c r="B93" s="5">
        <v>1206</v>
      </c>
      <c r="C93" s="5" t="s">
        <v>130</v>
      </c>
      <c r="D93" s="5" t="s">
        <v>123</v>
      </c>
      <c r="E93" s="5" t="s">
        <v>139</v>
      </c>
      <c r="F93" s="6">
        <v>10</v>
      </c>
      <c r="G93" s="6">
        <v>339</v>
      </c>
      <c r="H93" s="6">
        <v>10</v>
      </c>
      <c r="I93" s="6">
        <f t="shared" si="3"/>
        <v>3390</v>
      </c>
      <c r="J93" s="6">
        <f t="shared" si="1"/>
        <v>508.5</v>
      </c>
      <c r="K93" s="80">
        <f t="shared" si="2"/>
        <v>3898.5</v>
      </c>
      <c r="L93" s="91" t="s">
        <v>25</v>
      </c>
    </row>
    <row r="94" spans="1:13" x14ac:dyDescent="0.3">
      <c r="A94" s="2">
        <v>46007</v>
      </c>
      <c r="B94" s="5">
        <v>1207</v>
      </c>
      <c r="C94" s="5" t="s">
        <v>130</v>
      </c>
      <c r="D94" s="5" t="s">
        <v>27</v>
      </c>
      <c r="E94" s="5" t="s">
        <v>20</v>
      </c>
      <c r="F94" s="6">
        <v>12</v>
      </c>
      <c r="G94" s="6">
        <v>46.5</v>
      </c>
      <c r="H94" s="6">
        <v>164.58</v>
      </c>
      <c r="I94" s="6">
        <f t="shared" si="3"/>
        <v>7652.97</v>
      </c>
      <c r="J94" s="6">
        <f t="shared" si="1"/>
        <v>1147.9455</v>
      </c>
      <c r="K94" s="80">
        <f t="shared" si="2"/>
        <v>8800.915500000001</v>
      </c>
      <c r="L94" s="91" t="s">
        <v>25</v>
      </c>
      <c r="M94" s="16"/>
    </row>
    <row r="95" spans="1:13" x14ac:dyDescent="0.3">
      <c r="A95" s="2">
        <v>46007</v>
      </c>
      <c r="B95" s="5">
        <v>1207</v>
      </c>
      <c r="C95" s="5" t="s">
        <v>130</v>
      </c>
      <c r="D95" s="5" t="s">
        <v>27</v>
      </c>
      <c r="E95" s="5" t="s">
        <v>156</v>
      </c>
      <c r="F95" s="6">
        <v>5</v>
      </c>
      <c r="G95" s="6">
        <v>445</v>
      </c>
      <c r="H95" s="6">
        <v>5</v>
      </c>
      <c r="I95" s="6">
        <f t="shared" si="3"/>
        <v>2225</v>
      </c>
      <c r="J95" s="6">
        <f t="shared" si="1"/>
        <v>333.75</v>
      </c>
      <c r="K95" s="80">
        <f t="shared" si="2"/>
        <v>2558.75</v>
      </c>
      <c r="L95" s="91" t="s">
        <v>25</v>
      </c>
      <c r="M95" s="16"/>
    </row>
    <row r="96" spans="1:13" x14ac:dyDescent="0.3">
      <c r="A96" s="2">
        <v>46007</v>
      </c>
      <c r="B96" s="5">
        <v>1208</v>
      </c>
      <c r="C96" s="5" t="s">
        <v>131</v>
      </c>
      <c r="D96" s="5" t="s">
        <v>174</v>
      </c>
      <c r="E96" s="5" t="s">
        <v>11</v>
      </c>
      <c r="F96" s="6">
        <v>130</v>
      </c>
      <c r="G96" s="6">
        <v>166</v>
      </c>
      <c r="H96" s="6">
        <v>130</v>
      </c>
      <c r="I96" s="6">
        <f t="shared" si="3"/>
        <v>21580</v>
      </c>
      <c r="J96" s="6">
        <f t="shared" si="1"/>
        <v>3237</v>
      </c>
      <c r="K96" s="80">
        <f t="shared" si="2"/>
        <v>24817</v>
      </c>
      <c r="L96" s="91" t="s">
        <v>25</v>
      </c>
      <c r="M96" s="16"/>
    </row>
    <row r="97" spans="1:13" x14ac:dyDescent="0.3">
      <c r="A97" s="2">
        <v>46007</v>
      </c>
      <c r="B97" s="5">
        <v>1208</v>
      </c>
      <c r="C97" s="5" t="s">
        <v>131</v>
      </c>
      <c r="D97" s="5" t="s">
        <v>174</v>
      </c>
      <c r="E97" s="5" t="s">
        <v>46</v>
      </c>
      <c r="F97" s="6">
        <v>50</v>
      </c>
      <c r="G97" s="6">
        <v>24.5</v>
      </c>
      <c r="H97" s="6">
        <v>994.7</v>
      </c>
      <c r="I97" s="6">
        <f t="shared" si="3"/>
        <v>24370.15</v>
      </c>
      <c r="J97" s="6">
        <f t="shared" si="1"/>
        <v>3655.5225</v>
      </c>
      <c r="K97" s="80">
        <f t="shared" si="2"/>
        <v>28025.672500000001</v>
      </c>
      <c r="L97" s="91" t="s">
        <v>25</v>
      </c>
      <c r="M97" s="16"/>
    </row>
    <row r="98" spans="1:13" x14ac:dyDescent="0.3">
      <c r="A98" s="2">
        <v>46008</v>
      </c>
      <c r="B98" s="5">
        <v>1210</v>
      </c>
      <c r="C98" s="5" t="s">
        <v>130</v>
      </c>
      <c r="D98" s="5" t="s">
        <v>176</v>
      </c>
      <c r="E98" s="5" t="s">
        <v>162</v>
      </c>
      <c r="F98" s="6">
        <v>5</v>
      </c>
      <c r="G98" s="6">
        <v>657</v>
      </c>
      <c r="H98" s="6">
        <v>5</v>
      </c>
      <c r="I98" s="6">
        <f t="shared" si="3"/>
        <v>3285</v>
      </c>
      <c r="J98" s="6">
        <f t="shared" si="1"/>
        <v>492.75</v>
      </c>
      <c r="K98" s="119">
        <f t="shared" si="2"/>
        <v>3777.75</v>
      </c>
      <c r="L98" s="112" t="s">
        <v>25</v>
      </c>
      <c r="M98" s="113"/>
    </row>
    <row r="99" spans="1:13" x14ac:dyDescent="0.3">
      <c r="A99" s="2">
        <v>46008</v>
      </c>
      <c r="B99" s="5">
        <v>1211</v>
      </c>
      <c r="C99" s="5" t="s">
        <v>130</v>
      </c>
      <c r="D99" s="5" t="s">
        <v>89</v>
      </c>
      <c r="E99" s="5" t="s">
        <v>17</v>
      </c>
      <c r="F99" s="6">
        <v>8</v>
      </c>
      <c r="G99" s="6">
        <v>290</v>
      </c>
      <c r="H99" s="6">
        <v>8</v>
      </c>
      <c r="I99" s="6">
        <f t="shared" si="3"/>
        <v>2320</v>
      </c>
      <c r="J99" s="6">
        <f t="shared" si="1"/>
        <v>348</v>
      </c>
      <c r="K99" s="119">
        <f t="shared" si="2"/>
        <v>2668</v>
      </c>
      <c r="L99" s="112" t="s">
        <v>25</v>
      </c>
      <c r="M99" s="113"/>
    </row>
    <row r="100" spans="1:13" x14ac:dyDescent="0.3">
      <c r="A100" s="2">
        <v>46009</v>
      </c>
      <c r="B100" s="5">
        <v>1212</v>
      </c>
      <c r="C100" s="5" t="s">
        <v>130</v>
      </c>
      <c r="D100" s="5" t="s">
        <v>151</v>
      </c>
      <c r="E100" s="5" t="s">
        <v>164</v>
      </c>
      <c r="F100" s="6">
        <v>20</v>
      </c>
      <c r="G100" s="6">
        <v>289</v>
      </c>
      <c r="H100" s="6">
        <v>20</v>
      </c>
      <c r="I100" s="6">
        <f t="shared" si="3"/>
        <v>5780</v>
      </c>
      <c r="J100" s="6">
        <f t="shared" si="1"/>
        <v>867</v>
      </c>
      <c r="K100" s="80">
        <f t="shared" si="2"/>
        <v>6647</v>
      </c>
      <c r="L100" s="91" t="s">
        <v>25</v>
      </c>
      <c r="M100" s="95"/>
    </row>
    <row r="101" spans="1:13" x14ac:dyDescent="0.3">
      <c r="A101" s="2">
        <v>46009</v>
      </c>
      <c r="B101" s="5">
        <v>1212</v>
      </c>
      <c r="C101" s="5" t="s">
        <v>130</v>
      </c>
      <c r="D101" s="5" t="s">
        <v>151</v>
      </c>
      <c r="E101" s="5" t="s">
        <v>162</v>
      </c>
      <c r="F101" s="6">
        <v>5</v>
      </c>
      <c r="G101" s="6">
        <v>657</v>
      </c>
      <c r="H101" s="6">
        <v>5</v>
      </c>
      <c r="I101" s="6">
        <f t="shared" si="3"/>
        <v>3285</v>
      </c>
      <c r="J101" s="6">
        <f t="shared" si="1"/>
        <v>492.75</v>
      </c>
      <c r="K101" s="80">
        <f t="shared" si="2"/>
        <v>3777.75</v>
      </c>
      <c r="L101" s="91" t="s">
        <v>25</v>
      </c>
      <c r="M101" s="16"/>
    </row>
    <row r="102" spans="1:13" x14ac:dyDescent="0.3">
      <c r="A102" s="2">
        <v>46009</v>
      </c>
      <c r="B102" s="5">
        <v>1213</v>
      </c>
      <c r="C102" s="5" t="s">
        <v>130</v>
      </c>
      <c r="D102" s="5" t="s">
        <v>41</v>
      </c>
      <c r="E102" s="5" t="s">
        <v>20</v>
      </c>
      <c r="F102" s="6">
        <v>5</v>
      </c>
      <c r="G102" s="6">
        <v>46.5</v>
      </c>
      <c r="H102" s="6">
        <v>69.45</v>
      </c>
      <c r="I102" s="6">
        <f t="shared" si="3"/>
        <v>3229.4250000000002</v>
      </c>
      <c r="J102" s="6">
        <f t="shared" si="1"/>
        <v>484.41374999999999</v>
      </c>
      <c r="K102" s="119">
        <f t="shared" si="2"/>
        <v>3713.8387500000003</v>
      </c>
      <c r="L102" s="112" t="s">
        <v>25</v>
      </c>
      <c r="M102" s="113"/>
    </row>
    <row r="103" spans="1:13" x14ac:dyDescent="0.3">
      <c r="A103" s="2">
        <v>46011</v>
      </c>
      <c r="B103" s="5">
        <v>1214</v>
      </c>
      <c r="C103" s="5" t="s">
        <v>130</v>
      </c>
      <c r="D103" s="1" t="s">
        <v>150</v>
      </c>
      <c r="E103" s="5" t="s">
        <v>46</v>
      </c>
      <c r="F103" s="6">
        <v>14</v>
      </c>
      <c r="G103" s="6">
        <v>25</v>
      </c>
      <c r="H103" s="6">
        <v>301.14999999999998</v>
      </c>
      <c r="I103" s="6">
        <f t="shared" si="3"/>
        <v>7528.7499999999991</v>
      </c>
      <c r="J103" s="6">
        <f t="shared" si="1"/>
        <v>1129.3124999999998</v>
      </c>
      <c r="K103" s="80">
        <f t="shared" si="2"/>
        <v>8658.0624999999982</v>
      </c>
      <c r="L103" s="91" t="s">
        <v>25</v>
      </c>
      <c r="M103" s="16"/>
    </row>
    <row r="104" spans="1:13" x14ac:dyDescent="0.3">
      <c r="A104" s="2">
        <v>46011</v>
      </c>
      <c r="B104" s="5">
        <v>1215</v>
      </c>
      <c r="C104" s="5" t="s">
        <v>130</v>
      </c>
      <c r="D104" s="5" t="s">
        <v>128</v>
      </c>
      <c r="E104" s="5" t="s">
        <v>156</v>
      </c>
      <c r="F104" s="6">
        <v>8</v>
      </c>
      <c r="G104" s="6">
        <v>450</v>
      </c>
      <c r="H104" s="6">
        <v>8</v>
      </c>
      <c r="I104" s="6">
        <f t="shared" si="3"/>
        <v>3600</v>
      </c>
      <c r="J104" s="6">
        <f t="shared" si="1"/>
        <v>540</v>
      </c>
      <c r="K104" s="80">
        <f t="shared" si="2"/>
        <v>4140</v>
      </c>
      <c r="L104" s="91" t="s">
        <v>25</v>
      </c>
      <c r="M104" s="16"/>
    </row>
    <row r="105" spans="1:13" x14ac:dyDescent="0.3">
      <c r="A105" s="2">
        <v>46011</v>
      </c>
      <c r="B105" s="5">
        <v>1216</v>
      </c>
      <c r="C105" s="5" t="s">
        <v>130</v>
      </c>
      <c r="D105" s="5" t="s">
        <v>151</v>
      </c>
      <c r="E105" s="5" t="s">
        <v>162</v>
      </c>
      <c r="F105" s="6">
        <v>6</v>
      </c>
      <c r="G105" s="6">
        <v>657</v>
      </c>
      <c r="H105" s="6">
        <v>6</v>
      </c>
      <c r="I105" s="6">
        <f t="shared" si="3"/>
        <v>3942</v>
      </c>
      <c r="J105" s="6">
        <f t="shared" si="1"/>
        <v>591.29999999999995</v>
      </c>
      <c r="K105" s="80">
        <f t="shared" si="2"/>
        <v>4533.3</v>
      </c>
      <c r="L105" s="91" t="s">
        <v>25</v>
      </c>
      <c r="M105" s="16"/>
    </row>
    <row r="106" spans="1:13" x14ac:dyDescent="0.3">
      <c r="A106" s="2">
        <v>46011</v>
      </c>
      <c r="B106" s="5">
        <v>1217</v>
      </c>
      <c r="C106" s="5" t="s">
        <v>130</v>
      </c>
      <c r="D106" s="1" t="s">
        <v>30</v>
      </c>
      <c r="E106" s="5" t="s">
        <v>164</v>
      </c>
      <c r="F106" s="6">
        <v>35</v>
      </c>
      <c r="G106" s="6">
        <v>288</v>
      </c>
      <c r="H106" s="6">
        <v>35</v>
      </c>
      <c r="I106" s="6">
        <f t="shared" si="3"/>
        <v>10080</v>
      </c>
      <c r="J106" s="6">
        <f t="shared" si="1"/>
        <v>1512</v>
      </c>
      <c r="K106" s="80">
        <f t="shared" si="2"/>
        <v>11592</v>
      </c>
      <c r="L106" s="91" t="s">
        <v>25</v>
      </c>
      <c r="M106" s="10"/>
    </row>
    <row r="107" spans="1:13" x14ac:dyDescent="0.3">
      <c r="A107" s="2">
        <v>46011</v>
      </c>
      <c r="B107" s="5">
        <v>1218</v>
      </c>
      <c r="C107" s="5" t="s">
        <v>130</v>
      </c>
      <c r="D107" s="5" t="s">
        <v>180</v>
      </c>
      <c r="E107" s="5" t="s">
        <v>164</v>
      </c>
      <c r="F107" s="6">
        <v>15</v>
      </c>
      <c r="G107" s="6">
        <v>290</v>
      </c>
      <c r="H107" s="6">
        <v>15</v>
      </c>
      <c r="I107" s="6">
        <f t="shared" si="3"/>
        <v>4350</v>
      </c>
      <c r="J107" s="6">
        <f t="shared" si="1"/>
        <v>652.5</v>
      </c>
      <c r="K107" s="30">
        <f t="shared" si="2"/>
        <v>5002.5</v>
      </c>
      <c r="L107" s="17" t="s">
        <v>203</v>
      </c>
    </row>
    <row r="108" spans="1:13" x14ac:dyDescent="0.3">
      <c r="A108" s="2">
        <v>46011</v>
      </c>
      <c r="B108" s="5">
        <v>1218</v>
      </c>
      <c r="C108" s="5" t="s">
        <v>130</v>
      </c>
      <c r="D108" s="5" t="s">
        <v>180</v>
      </c>
      <c r="E108" s="5" t="s">
        <v>181</v>
      </c>
      <c r="F108" s="6">
        <v>10</v>
      </c>
      <c r="G108" s="6">
        <v>19.600000000000001</v>
      </c>
      <c r="H108" s="6">
        <v>145.32</v>
      </c>
      <c r="I108" s="6">
        <f t="shared" si="3"/>
        <v>2848.2719999999999</v>
      </c>
      <c r="J108" s="6">
        <f t="shared" si="1"/>
        <v>427.24079999999998</v>
      </c>
      <c r="K108" s="30">
        <f t="shared" si="2"/>
        <v>3275.5128</v>
      </c>
      <c r="L108" s="17" t="s">
        <v>203</v>
      </c>
    </row>
    <row r="109" spans="1:13" x14ac:dyDescent="0.3">
      <c r="A109" s="47">
        <v>46021</v>
      </c>
      <c r="B109" s="48">
        <v>1248</v>
      </c>
      <c r="C109" s="48" t="s">
        <v>130</v>
      </c>
      <c r="D109" s="48" t="s">
        <v>180</v>
      </c>
      <c r="E109" s="48" t="s">
        <v>164</v>
      </c>
      <c r="F109" s="49">
        <v>-14</v>
      </c>
      <c r="G109" s="49">
        <v>290</v>
      </c>
      <c r="H109" s="49">
        <v>-14</v>
      </c>
      <c r="I109" s="49">
        <f t="shared" si="3"/>
        <v>-4060</v>
      </c>
      <c r="J109" s="49">
        <f t="shared" si="1"/>
        <v>-609</v>
      </c>
      <c r="K109" s="122">
        <f t="shared" si="2"/>
        <v>-4669</v>
      </c>
      <c r="L109" s="46" t="s">
        <v>202</v>
      </c>
    </row>
    <row r="110" spans="1:13" x14ac:dyDescent="0.3">
      <c r="A110" s="47">
        <v>46021</v>
      </c>
      <c r="B110" s="48">
        <v>1248</v>
      </c>
      <c r="C110" s="48" t="s">
        <v>130</v>
      </c>
      <c r="D110" s="48" t="s">
        <v>180</v>
      </c>
      <c r="E110" s="48" t="s">
        <v>181</v>
      </c>
      <c r="F110" s="49">
        <v>9</v>
      </c>
      <c r="G110" s="49">
        <v>19.600000000000001</v>
      </c>
      <c r="H110" s="49">
        <v>-131.22</v>
      </c>
      <c r="I110" s="49">
        <f t="shared" si="3"/>
        <v>-2571.9120000000003</v>
      </c>
      <c r="J110" s="49">
        <f t="shared" si="1"/>
        <v>-385.78680000000003</v>
      </c>
      <c r="K110" s="122">
        <f t="shared" si="2"/>
        <v>-2957.6988000000001</v>
      </c>
      <c r="L110" s="46" t="s">
        <v>202</v>
      </c>
    </row>
    <row r="111" spans="1:13" x14ac:dyDescent="0.3">
      <c r="A111" s="2">
        <v>46011</v>
      </c>
      <c r="B111" s="5">
        <v>1219</v>
      </c>
      <c r="C111" s="5" t="s">
        <v>131</v>
      </c>
      <c r="D111" s="5" t="s">
        <v>96</v>
      </c>
      <c r="E111" s="5" t="s">
        <v>173</v>
      </c>
      <c r="F111" s="6">
        <v>1</v>
      </c>
      <c r="G111" s="6">
        <v>19.5</v>
      </c>
      <c r="H111" s="6">
        <v>21.8</v>
      </c>
      <c r="I111" s="6">
        <f t="shared" si="3"/>
        <v>425.1</v>
      </c>
      <c r="J111" s="6">
        <f t="shared" si="1"/>
        <v>63.765000000000001</v>
      </c>
      <c r="K111" s="80">
        <f t="shared" si="2"/>
        <v>488.86500000000001</v>
      </c>
      <c r="L111" s="91" t="s">
        <v>25</v>
      </c>
    </row>
    <row r="112" spans="1:13" x14ac:dyDescent="0.3">
      <c r="A112" s="2">
        <v>46012</v>
      </c>
      <c r="B112" s="5">
        <v>1220</v>
      </c>
      <c r="C112" s="5" t="s">
        <v>130</v>
      </c>
      <c r="D112" s="1" t="s">
        <v>150</v>
      </c>
      <c r="E112" s="5" t="s">
        <v>46</v>
      </c>
      <c r="F112" s="6">
        <v>7</v>
      </c>
      <c r="G112" s="6">
        <v>25</v>
      </c>
      <c r="H112" s="6">
        <v>163.38999999999999</v>
      </c>
      <c r="I112" s="6">
        <f t="shared" si="3"/>
        <v>4084.7499999999995</v>
      </c>
      <c r="J112" s="6">
        <f t="shared" si="1"/>
        <v>612.71249999999986</v>
      </c>
      <c r="K112" s="80">
        <f t="shared" si="2"/>
        <v>4697.4624999999996</v>
      </c>
      <c r="L112" s="91" t="s">
        <v>25</v>
      </c>
      <c r="M112" s="16"/>
    </row>
    <row r="113" spans="1:14" x14ac:dyDescent="0.3">
      <c r="A113" s="2">
        <v>46012</v>
      </c>
      <c r="B113" s="5">
        <v>1221</v>
      </c>
      <c r="C113" s="5" t="s">
        <v>130</v>
      </c>
      <c r="D113" s="5" t="s">
        <v>72</v>
      </c>
      <c r="E113" s="5" t="s">
        <v>46</v>
      </c>
      <c r="F113" s="6">
        <v>30</v>
      </c>
      <c r="G113" s="6">
        <v>25</v>
      </c>
      <c r="H113" s="6">
        <v>648.33000000000004</v>
      </c>
      <c r="I113" s="6">
        <f t="shared" si="3"/>
        <v>16208.250000000002</v>
      </c>
      <c r="J113" s="6">
        <f t="shared" si="1"/>
        <v>2431.2375000000002</v>
      </c>
      <c r="K113" s="80">
        <f t="shared" si="2"/>
        <v>18639.487500000003</v>
      </c>
      <c r="L113" s="91" t="s">
        <v>25</v>
      </c>
      <c r="M113" s="16"/>
    </row>
    <row r="114" spans="1:14" x14ac:dyDescent="0.3">
      <c r="A114" s="2">
        <v>46012</v>
      </c>
      <c r="B114" s="5">
        <v>1222</v>
      </c>
      <c r="C114" s="5" t="s">
        <v>130</v>
      </c>
      <c r="D114" s="5" t="s">
        <v>41</v>
      </c>
      <c r="E114" s="5" t="s">
        <v>20</v>
      </c>
      <c r="F114" s="6">
        <v>6</v>
      </c>
      <c r="G114" s="6">
        <v>46.5</v>
      </c>
      <c r="H114" s="6">
        <v>91.55</v>
      </c>
      <c r="I114" s="6">
        <f t="shared" si="3"/>
        <v>4257.0749999999998</v>
      </c>
      <c r="J114" s="6">
        <f t="shared" si="1"/>
        <v>638.56124999999997</v>
      </c>
      <c r="K114" s="135">
        <f t="shared" si="2"/>
        <v>4895.6362499999996</v>
      </c>
      <c r="L114" s="121" t="s">
        <v>25</v>
      </c>
      <c r="M114" s="124"/>
    </row>
    <row r="115" spans="1:14" x14ac:dyDescent="0.3">
      <c r="A115" s="2">
        <v>46012</v>
      </c>
      <c r="B115" s="5">
        <v>1223</v>
      </c>
      <c r="C115" s="5" t="s">
        <v>130</v>
      </c>
      <c r="D115" s="5" t="s">
        <v>76</v>
      </c>
      <c r="E115" s="5" t="s">
        <v>121</v>
      </c>
      <c r="F115" s="6">
        <v>100</v>
      </c>
      <c r="G115" s="6">
        <v>43.25</v>
      </c>
      <c r="H115" s="6">
        <v>100</v>
      </c>
      <c r="I115" s="6">
        <f t="shared" si="3"/>
        <v>4325</v>
      </c>
      <c r="J115" s="6">
        <f t="shared" si="1"/>
        <v>648.75</v>
      </c>
      <c r="K115" s="3">
        <f t="shared" si="2"/>
        <v>4973.75</v>
      </c>
      <c r="L115" s="17" t="s">
        <v>25</v>
      </c>
      <c r="M115" s="10"/>
    </row>
    <row r="116" spans="1:14" x14ac:dyDescent="0.3">
      <c r="A116" s="2">
        <v>46012</v>
      </c>
      <c r="B116" s="5">
        <v>1223</v>
      </c>
      <c r="C116" s="5" t="s">
        <v>130</v>
      </c>
      <c r="D116" s="5" t="s">
        <v>76</v>
      </c>
      <c r="E116" s="5" t="s">
        <v>46</v>
      </c>
      <c r="F116" s="6">
        <v>5</v>
      </c>
      <c r="G116" s="6">
        <v>24.9</v>
      </c>
      <c r="H116" s="6">
        <v>105.55</v>
      </c>
      <c r="I116" s="6">
        <f t="shared" si="3"/>
        <v>2628.1949999999997</v>
      </c>
      <c r="J116" s="6">
        <f t="shared" si="1"/>
        <v>394.22924999999992</v>
      </c>
      <c r="K116" s="3">
        <f t="shared" si="2"/>
        <v>3022.4242499999996</v>
      </c>
      <c r="L116" s="17" t="s">
        <v>25</v>
      </c>
    </row>
    <row r="117" spans="1:14" x14ac:dyDescent="0.3">
      <c r="A117" s="2">
        <v>46012</v>
      </c>
      <c r="B117" s="5">
        <v>1223</v>
      </c>
      <c r="C117" s="5" t="s">
        <v>130</v>
      </c>
      <c r="D117" s="5" t="s">
        <v>76</v>
      </c>
      <c r="E117" s="5" t="s">
        <v>182</v>
      </c>
      <c r="F117" s="6">
        <v>2</v>
      </c>
      <c r="G117" s="6">
        <v>756</v>
      </c>
      <c r="H117" s="6">
        <v>2</v>
      </c>
      <c r="I117" s="6">
        <f t="shared" si="3"/>
        <v>1512</v>
      </c>
      <c r="J117" s="6">
        <f t="shared" si="1"/>
        <v>226.79999999999998</v>
      </c>
      <c r="K117" s="3">
        <f t="shared" si="2"/>
        <v>1738.8</v>
      </c>
      <c r="L117" s="17" t="s">
        <v>25</v>
      </c>
    </row>
    <row r="118" spans="1:14" x14ac:dyDescent="0.3">
      <c r="A118" s="2">
        <v>46012</v>
      </c>
      <c r="B118" s="5">
        <v>1223</v>
      </c>
      <c r="C118" s="5" t="s">
        <v>130</v>
      </c>
      <c r="D118" s="5" t="s">
        <v>76</v>
      </c>
      <c r="E118" s="5" t="s">
        <v>162</v>
      </c>
      <c r="F118" s="6">
        <v>2</v>
      </c>
      <c r="G118" s="6">
        <v>657</v>
      </c>
      <c r="H118" s="6">
        <v>2</v>
      </c>
      <c r="I118" s="6">
        <f t="shared" si="3"/>
        <v>1314</v>
      </c>
      <c r="J118" s="6">
        <f t="shared" si="1"/>
        <v>197.1</v>
      </c>
      <c r="K118" s="3">
        <f t="shared" si="2"/>
        <v>1511.1</v>
      </c>
      <c r="L118" s="17" t="s">
        <v>25</v>
      </c>
    </row>
    <row r="119" spans="1:14" x14ac:dyDescent="0.3">
      <c r="A119" s="2">
        <v>46012</v>
      </c>
      <c r="B119" s="5">
        <v>1223</v>
      </c>
      <c r="C119" s="5" t="s">
        <v>130</v>
      </c>
      <c r="D119" s="5" t="s">
        <v>76</v>
      </c>
      <c r="E119" s="5" t="s">
        <v>156</v>
      </c>
      <c r="F119" s="6">
        <v>5</v>
      </c>
      <c r="G119" s="6">
        <v>438</v>
      </c>
      <c r="H119" s="6">
        <v>5</v>
      </c>
      <c r="I119" s="6">
        <f t="shared" si="3"/>
        <v>2190</v>
      </c>
      <c r="J119" s="6">
        <f t="shared" si="1"/>
        <v>328.5</v>
      </c>
      <c r="K119" s="3">
        <f t="shared" si="2"/>
        <v>2518.5</v>
      </c>
      <c r="L119" s="17" t="s">
        <v>25</v>
      </c>
    </row>
    <row r="120" spans="1:14" x14ac:dyDescent="0.3">
      <c r="A120" s="2">
        <v>46012</v>
      </c>
      <c r="B120" s="5">
        <v>1223</v>
      </c>
      <c r="C120" s="5" t="s">
        <v>130</v>
      </c>
      <c r="D120" s="5" t="s">
        <v>76</v>
      </c>
      <c r="E120" s="5" t="s">
        <v>11</v>
      </c>
      <c r="F120" s="6">
        <v>50</v>
      </c>
      <c r="G120" s="6">
        <v>171</v>
      </c>
      <c r="H120" s="6">
        <v>50</v>
      </c>
      <c r="I120" s="6">
        <f t="shared" si="3"/>
        <v>8550</v>
      </c>
      <c r="J120" s="6">
        <f t="shared" si="1"/>
        <v>1282.5</v>
      </c>
      <c r="K120" s="3">
        <f t="shared" si="2"/>
        <v>9832.5</v>
      </c>
      <c r="L120" s="17" t="s">
        <v>25</v>
      </c>
    </row>
    <row r="121" spans="1:14" x14ac:dyDescent="0.3">
      <c r="A121" s="2">
        <v>46012</v>
      </c>
      <c r="B121" s="5">
        <v>1223</v>
      </c>
      <c r="C121" s="5" t="s">
        <v>130</v>
      </c>
      <c r="D121" s="5" t="s">
        <v>76</v>
      </c>
      <c r="E121" s="5" t="s">
        <v>183</v>
      </c>
      <c r="F121" s="6">
        <v>5</v>
      </c>
      <c r="G121" s="6">
        <v>55</v>
      </c>
      <c r="H121" s="6">
        <v>5</v>
      </c>
      <c r="I121" s="6">
        <f t="shared" si="3"/>
        <v>275</v>
      </c>
      <c r="J121" s="6">
        <f t="shared" si="1"/>
        <v>41.25</v>
      </c>
      <c r="K121" s="3">
        <f t="shared" si="2"/>
        <v>316.25</v>
      </c>
      <c r="L121" s="17" t="s">
        <v>25</v>
      </c>
    </row>
    <row r="122" spans="1:14" x14ac:dyDescent="0.3">
      <c r="A122" s="47">
        <v>46014</v>
      </c>
      <c r="B122" s="48">
        <v>1225</v>
      </c>
      <c r="C122" s="48" t="s">
        <v>130</v>
      </c>
      <c r="D122" s="48" t="s">
        <v>76</v>
      </c>
      <c r="E122" s="48" t="s">
        <v>190</v>
      </c>
      <c r="F122" s="49">
        <v>3</v>
      </c>
      <c r="G122" s="49">
        <v>390</v>
      </c>
      <c r="H122" s="49">
        <v>-3</v>
      </c>
      <c r="I122" s="49">
        <f t="shared" si="3"/>
        <v>-1170</v>
      </c>
      <c r="J122" s="49">
        <f t="shared" si="1"/>
        <v>-175.5</v>
      </c>
      <c r="K122" s="122">
        <f t="shared" si="2"/>
        <v>-1345.5</v>
      </c>
      <c r="L122" s="46" t="s">
        <v>78</v>
      </c>
    </row>
    <row r="123" spans="1:14" x14ac:dyDescent="0.3">
      <c r="A123" s="2">
        <v>46013</v>
      </c>
      <c r="B123" s="5">
        <v>1224</v>
      </c>
      <c r="C123" s="5" t="s">
        <v>130</v>
      </c>
      <c r="D123" s="5" t="s">
        <v>41</v>
      </c>
      <c r="E123" s="5" t="s">
        <v>148</v>
      </c>
      <c r="F123" s="6">
        <v>100</v>
      </c>
      <c r="G123" s="6">
        <v>152</v>
      </c>
      <c r="H123" s="6">
        <v>100</v>
      </c>
      <c r="I123" s="6">
        <f t="shared" si="3"/>
        <v>15200</v>
      </c>
      <c r="J123" s="6">
        <f t="shared" si="1"/>
        <v>2280</v>
      </c>
      <c r="K123" s="135">
        <f t="shared" si="2"/>
        <v>17480</v>
      </c>
      <c r="L123" s="121" t="s">
        <v>25</v>
      </c>
      <c r="M123" s="124"/>
    </row>
    <row r="124" spans="1:14" x14ac:dyDescent="0.3">
      <c r="A124" s="2">
        <v>46015</v>
      </c>
      <c r="B124" s="5">
        <v>1226</v>
      </c>
      <c r="C124" s="5" t="s">
        <v>130</v>
      </c>
      <c r="D124" s="5" t="s">
        <v>41</v>
      </c>
      <c r="E124" s="5" t="s">
        <v>138</v>
      </c>
      <c r="F124" s="6">
        <v>100</v>
      </c>
      <c r="G124" s="6">
        <v>414</v>
      </c>
      <c r="H124" s="6">
        <v>100</v>
      </c>
      <c r="I124" s="6">
        <f t="shared" si="3"/>
        <v>41400</v>
      </c>
      <c r="J124" s="6">
        <f t="shared" si="1"/>
        <v>6210</v>
      </c>
      <c r="K124" s="80">
        <f t="shared" si="2"/>
        <v>47610</v>
      </c>
      <c r="L124" s="91" t="s">
        <v>25</v>
      </c>
      <c r="M124" s="10"/>
      <c r="N124" s="10" t="s">
        <v>198</v>
      </c>
    </row>
    <row r="125" spans="1:14" x14ac:dyDescent="0.3">
      <c r="A125" s="2">
        <v>46015</v>
      </c>
      <c r="B125" s="5">
        <v>1227</v>
      </c>
      <c r="C125" s="5" t="s">
        <v>130</v>
      </c>
      <c r="D125" s="5" t="s">
        <v>41</v>
      </c>
      <c r="E125" s="5" t="s">
        <v>138</v>
      </c>
      <c r="F125" s="6">
        <v>20</v>
      </c>
      <c r="G125" s="6">
        <v>414</v>
      </c>
      <c r="H125" s="6">
        <v>20</v>
      </c>
      <c r="I125" s="6">
        <f t="shared" si="3"/>
        <v>8280</v>
      </c>
      <c r="J125" s="6">
        <f t="shared" si="1"/>
        <v>1242</v>
      </c>
      <c r="K125" s="80">
        <f t="shared" si="2"/>
        <v>9522</v>
      </c>
      <c r="L125" s="91" t="s">
        <v>25</v>
      </c>
      <c r="M125" s="10"/>
    </row>
    <row r="126" spans="1:14" x14ac:dyDescent="0.3">
      <c r="A126" s="2">
        <v>46015</v>
      </c>
      <c r="B126" s="5">
        <v>1228</v>
      </c>
      <c r="C126" s="5" t="s">
        <v>130</v>
      </c>
      <c r="D126" s="5" t="s">
        <v>192</v>
      </c>
      <c r="E126" s="5" t="s">
        <v>139</v>
      </c>
      <c r="F126" s="6">
        <v>400</v>
      </c>
      <c r="G126" s="6">
        <v>335</v>
      </c>
      <c r="H126" s="6">
        <v>400</v>
      </c>
      <c r="I126" s="6">
        <f t="shared" si="3"/>
        <v>134000</v>
      </c>
      <c r="J126" s="6">
        <f t="shared" si="1"/>
        <v>20100</v>
      </c>
      <c r="K126" s="80">
        <f t="shared" si="2"/>
        <v>154100</v>
      </c>
      <c r="L126" s="91" t="s">
        <v>25</v>
      </c>
    </row>
    <row r="127" spans="1:14" x14ac:dyDescent="0.3">
      <c r="A127" s="2">
        <v>46015</v>
      </c>
      <c r="B127" s="5">
        <v>1229</v>
      </c>
      <c r="C127" s="5" t="s">
        <v>130</v>
      </c>
      <c r="D127" s="1" t="s">
        <v>150</v>
      </c>
      <c r="E127" s="5" t="s">
        <v>46</v>
      </c>
      <c r="F127" s="6">
        <v>13</v>
      </c>
      <c r="G127" s="6">
        <v>25</v>
      </c>
      <c r="H127" s="6">
        <v>302.25</v>
      </c>
      <c r="I127" s="6">
        <f t="shared" si="3"/>
        <v>7556.25</v>
      </c>
      <c r="J127" s="6">
        <f t="shared" si="1"/>
        <v>1133.4375</v>
      </c>
      <c r="K127" s="80">
        <f t="shared" si="2"/>
        <v>8689.6875</v>
      </c>
      <c r="L127" s="91" t="s">
        <v>25</v>
      </c>
      <c r="M127" s="16"/>
    </row>
    <row r="128" spans="1:14" x14ac:dyDescent="0.3">
      <c r="A128" s="2">
        <v>46016</v>
      </c>
      <c r="B128" s="5">
        <v>1230</v>
      </c>
      <c r="C128" s="5" t="s">
        <v>130</v>
      </c>
      <c r="D128" s="5" t="s">
        <v>41</v>
      </c>
      <c r="E128" s="5" t="s">
        <v>148</v>
      </c>
      <c r="F128" s="6">
        <v>150</v>
      </c>
      <c r="G128" s="6">
        <v>152</v>
      </c>
      <c r="H128" s="6">
        <v>150</v>
      </c>
      <c r="I128" s="6">
        <f t="shared" si="3"/>
        <v>22800</v>
      </c>
      <c r="J128" s="6">
        <f t="shared" si="1"/>
        <v>3420</v>
      </c>
      <c r="K128" s="3">
        <f t="shared" si="2"/>
        <v>26220</v>
      </c>
      <c r="L128" s="17" t="s">
        <v>25</v>
      </c>
      <c r="M128" s="10"/>
    </row>
    <row r="129" spans="1:13" x14ac:dyDescent="0.3">
      <c r="A129" s="2">
        <v>46016</v>
      </c>
      <c r="B129" s="5">
        <v>1230</v>
      </c>
      <c r="C129" s="5" t="s">
        <v>130</v>
      </c>
      <c r="D129" s="5" t="s">
        <v>41</v>
      </c>
      <c r="E129" s="5" t="s">
        <v>139</v>
      </c>
      <c r="F129" s="6">
        <v>15</v>
      </c>
      <c r="G129" s="6">
        <v>335</v>
      </c>
      <c r="H129" s="6">
        <v>15</v>
      </c>
      <c r="I129" s="6">
        <f t="shared" si="3"/>
        <v>5025</v>
      </c>
      <c r="J129" s="6">
        <f t="shared" si="1"/>
        <v>753.75</v>
      </c>
      <c r="K129" s="3">
        <f t="shared" si="2"/>
        <v>5778.75</v>
      </c>
      <c r="L129" s="17" t="s">
        <v>25</v>
      </c>
    </row>
    <row r="130" spans="1:13" x14ac:dyDescent="0.3">
      <c r="A130" s="2">
        <v>46016</v>
      </c>
      <c r="B130" s="5">
        <v>1231</v>
      </c>
      <c r="C130" s="136" t="s">
        <v>130</v>
      </c>
      <c r="D130" s="5" t="s">
        <v>194</v>
      </c>
      <c r="E130" s="5" t="s">
        <v>195</v>
      </c>
      <c r="F130" s="6">
        <v>6</v>
      </c>
      <c r="G130" s="6">
        <v>425</v>
      </c>
      <c r="H130" s="6">
        <v>6</v>
      </c>
      <c r="I130" s="6">
        <f t="shared" si="3"/>
        <v>2550</v>
      </c>
      <c r="J130" s="6">
        <f t="shared" si="1"/>
        <v>382.5</v>
      </c>
      <c r="K130" s="3">
        <f t="shared" si="2"/>
        <v>2932.5</v>
      </c>
      <c r="L130" s="17" t="s">
        <v>25</v>
      </c>
    </row>
    <row r="131" spans="1:13" x14ac:dyDescent="0.3">
      <c r="A131" s="2">
        <v>46016</v>
      </c>
      <c r="B131" s="5">
        <v>1231</v>
      </c>
      <c r="C131" s="5" t="s">
        <v>130</v>
      </c>
      <c r="D131" s="5" t="s">
        <v>194</v>
      </c>
      <c r="E131" s="5" t="s">
        <v>139</v>
      </c>
      <c r="F131" s="6">
        <v>20</v>
      </c>
      <c r="G131" s="6">
        <v>338</v>
      </c>
      <c r="H131" s="6">
        <v>20</v>
      </c>
      <c r="I131" s="6">
        <f t="shared" si="3"/>
        <v>6760</v>
      </c>
      <c r="J131" s="6">
        <f t="shared" si="1"/>
        <v>1014</v>
      </c>
      <c r="K131" s="3">
        <f t="shared" si="2"/>
        <v>7774</v>
      </c>
      <c r="L131" s="17" t="s">
        <v>25</v>
      </c>
    </row>
    <row r="132" spans="1:13" x14ac:dyDescent="0.3">
      <c r="A132" s="2">
        <v>46016</v>
      </c>
      <c r="B132" s="5">
        <v>1232</v>
      </c>
      <c r="C132" s="5" t="s">
        <v>130</v>
      </c>
      <c r="D132" s="5" t="s">
        <v>151</v>
      </c>
      <c r="E132" s="5" t="s">
        <v>162</v>
      </c>
      <c r="F132" s="6">
        <v>6</v>
      </c>
      <c r="G132" s="6">
        <v>657</v>
      </c>
      <c r="H132" s="6">
        <v>6</v>
      </c>
      <c r="I132" s="6">
        <f t="shared" si="3"/>
        <v>3942</v>
      </c>
      <c r="J132" s="6">
        <f t="shared" si="1"/>
        <v>591.29999999999995</v>
      </c>
      <c r="K132" s="80">
        <f t="shared" si="2"/>
        <v>4533.3</v>
      </c>
      <c r="L132" s="91" t="s">
        <v>25</v>
      </c>
      <c r="M132" s="16"/>
    </row>
    <row r="133" spans="1:13" x14ac:dyDescent="0.3">
      <c r="A133" s="2">
        <v>46016</v>
      </c>
      <c r="B133" s="5">
        <v>1233</v>
      </c>
      <c r="C133" s="5" t="s">
        <v>130</v>
      </c>
      <c r="D133" s="5" t="s">
        <v>102</v>
      </c>
      <c r="E133" s="5" t="s">
        <v>162</v>
      </c>
      <c r="F133" s="6">
        <v>8</v>
      </c>
      <c r="G133" s="6">
        <v>657</v>
      </c>
      <c r="H133" s="6">
        <v>8</v>
      </c>
      <c r="I133" s="6">
        <f t="shared" si="3"/>
        <v>5256</v>
      </c>
      <c r="J133" s="6">
        <f t="shared" si="1"/>
        <v>788.4</v>
      </c>
      <c r="K133" s="80">
        <f t="shared" si="2"/>
        <v>6044.4</v>
      </c>
      <c r="L133" s="91" t="s">
        <v>25</v>
      </c>
      <c r="M133" s="95"/>
    </row>
    <row r="134" spans="1:13" x14ac:dyDescent="0.3">
      <c r="A134" s="2">
        <v>46016</v>
      </c>
      <c r="B134" s="5">
        <v>1233</v>
      </c>
      <c r="C134" s="5" t="s">
        <v>130</v>
      </c>
      <c r="D134" s="5" t="s">
        <v>102</v>
      </c>
      <c r="E134" s="5" t="s">
        <v>139</v>
      </c>
      <c r="F134" s="6">
        <v>250</v>
      </c>
      <c r="G134" s="6">
        <v>335</v>
      </c>
      <c r="H134" s="6">
        <v>250</v>
      </c>
      <c r="I134" s="6">
        <f t="shared" si="3"/>
        <v>83750</v>
      </c>
      <c r="J134" s="6">
        <f t="shared" si="1"/>
        <v>12562.5</v>
      </c>
      <c r="K134" s="80">
        <f t="shared" si="2"/>
        <v>96312.5</v>
      </c>
      <c r="L134" s="91" t="s">
        <v>25</v>
      </c>
    </row>
    <row r="135" spans="1:13" x14ac:dyDescent="0.3">
      <c r="A135" s="2">
        <v>46016</v>
      </c>
      <c r="B135" s="5">
        <v>1234</v>
      </c>
      <c r="C135" s="5" t="s">
        <v>130</v>
      </c>
      <c r="D135" s="5" t="s">
        <v>196</v>
      </c>
      <c r="E135" s="5" t="s">
        <v>20</v>
      </c>
      <c r="F135" s="6">
        <v>10</v>
      </c>
      <c r="G135" s="6">
        <v>46.6</v>
      </c>
      <c r="H135" s="6">
        <v>151.96</v>
      </c>
      <c r="I135" s="6">
        <f t="shared" si="3"/>
        <v>7081.3360000000002</v>
      </c>
      <c r="J135" s="6">
        <f t="shared" si="1"/>
        <v>1062.2003999999999</v>
      </c>
      <c r="K135" s="80">
        <f t="shared" si="2"/>
        <v>8143.5364</v>
      </c>
      <c r="L135" s="91" t="s">
        <v>25</v>
      </c>
      <c r="M135" s="16"/>
    </row>
    <row r="136" spans="1:13" x14ac:dyDescent="0.3">
      <c r="A136" s="2">
        <v>46016</v>
      </c>
      <c r="B136" s="5">
        <v>1234</v>
      </c>
      <c r="C136" s="5" t="s">
        <v>130</v>
      </c>
      <c r="D136" s="5" t="s">
        <v>196</v>
      </c>
      <c r="E136" s="5" t="s">
        <v>162</v>
      </c>
      <c r="F136" s="6">
        <v>1</v>
      </c>
      <c r="G136" s="6">
        <v>666</v>
      </c>
      <c r="H136" s="6">
        <v>1</v>
      </c>
      <c r="I136" s="6">
        <f t="shared" si="3"/>
        <v>666</v>
      </c>
      <c r="J136" s="6">
        <f t="shared" si="1"/>
        <v>99.899999999999991</v>
      </c>
      <c r="K136" s="80">
        <f t="shared" si="2"/>
        <v>765.9</v>
      </c>
      <c r="L136" s="91" t="s">
        <v>25</v>
      </c>
      <c r="M136" s="16"/>
    </row>
    <row r="137" spans="1:13" x14ac:dyDescent="0.3">
      <c r="A137" s="2">
        <v>46019</v>
      </c>
      <c r="B137" s="5">
        <v>1235</v>
      </c>
      <c r="C137" s="5" t="s">
        <v>130</v>
      </c>
      <c r="D137" s="5" t="s">
        <v>197</v>
      </c>
      <c r="E137" s="5" t="s">
        <v>162</v>
      </c>
      <c r="F137" s="6">
        <v>1</v>
      </c>
      <c r="G137" s="6">
        <v>675</v>
      </c>
      <c r="H137" s="6">
        <v>1</v>
      </c>
      <c r="I137" s="6">
        <f t="shared" si="3"/>
        <v>675</v>
      </c>
      <c r="J137" s="6">
        <f t="shared" si="1"/>
        <v>101.25</v>
      </c>
      <c r="K137" s="80">
        <f t="shared" si="2"/>
        <v>776.25</v>
      </c>
      <c r="L137" s="91" t="s">
        <v>25</v>
      </c>
      <c r="M137" s="16"/>
    </row>
    <row r="138" spans="1:13" x14ac:dyDescent="0.3">
      <c r="A138" s="2">
        <v>46019</v>
      </c>
      <c r="B138" s="5">
        <v>1238</v>
      </c>
      <c r="C138" s="5" t="s">
        <v>130</v>
      </c>
      <c r="D138" s="5" t="s">
        <v>192</v>
      </c>
      <c r="E138" s="5" t="s">
        <v>195</v>
      </c>
      <c r="F138" s="6">
        <v>75</v>
      </c>
      <c r="G138" s="6">
        <v>415</v>
      </c>
      <c r="H138" s="6">
        <v>75</v>
      </c>
      <c r="I138" s="6">
        <f t="shared" si="3"/>
        <v>31125</v>
      </c>
      <c r="J138" s="142">
        <f t="shared" si="1"/>
        <v>4668.75</v>
      </c>
      <c r="K138" s="80">
        <f t="shared" si="2"/>
        <v>35793.75</v>
      </c>
      <c r="L138" s="91" t="s">
        <v>25</v>
      </c>
      <c r="M138" s="10"/>
    </row>
    <row r="139" spans="1:13" x14ac:dyDescent="0.3">
      <c r="A139" s="2">
        <v>46019</v>
      </c>
      <c r="B139" s="5">
        <v>1238</v>
      </c>
      <c r="C139" s="5" t="s">
        <v>130</v>
      </c>
      <c r="D139" s="5" t="s">
        <v>192</v>
      </c>
      <c r="E139" s="5" t="s">
        <v>199</v>
      </c>
      <c r="F139" s="6">
        <v>28</v>
      </c>
      <c r="G139" s="6">
        <v>756</v>
      </c>
      <c r="H139" s="6">
        <v>28</v>
      </c>
      <c r="I139" s="6">
        <f t="shared" si="3"/>
        <v>21168</v>
      </c>
      <c r="J139" s="142">
        <f t="shared" si="1"/>
        <v>3175.2</v>
      </c>
      <c r="K139" s="80">
        <f t="shared" si="2"/>
        <v>24343.200000000001</v>
      </c>
      <c r="L139" s="91" t="s">
        <v>25</v>
      </c>
    </row>
    <row r="140" spans="1:13" x14ac:dyDescent="0.3">
      <c r="A140" s="2">
        <v>46019</v>
      </c>
      <c r="B140" s="5">
        <v>1239</v>
      </c>
      <c r="C140" s="5" t="s">
        <v>130</v>
      </c>
      <c r="D140" s="1" t="s">
        <v>150</v>
      </c>
      <c r="E140" s="5" t="s">
        <v>46</v>
      </c>
      <c r="F140" s="6">
        <v>17</v>
      </c>
      <c r="G140" s="6">
        <v>25</v>
      </c>
      <c r="H140" s="6">
        <v>373.88</v>
      </c>
      <c r="I140" s="6">
        <f t="shared" si="3"/>
        <v>9347</v>
      </c>
      <c r="J140" s="6">
        <f t="shared" si="1"/>
        <v>1402.05</v>
      </c>
      <c r="K140" s="80">
        <f t="shared" si="2"/>
        <v>10749.05</v>
      </c>
      <c r="L140" s="91" t="s">
        <v>25</v>
      </c>
      <c r="M140" s="16"/>
    </row>
    <row r="141" spans="1:13" x14ac:dyDescent="0.3">
      <c r="A141" s="2">
        <v>46019</v>
      </c>
      <c r="B141" s="5">
        <v>1239</v>
      </c>
      <c r="C141" s="5" t="s">
        <v>130</v>
      </c>
      <c r="D141" s="1" t="s">
        <v>150</v>
      </c>
      <c r="E141" s="5" t="s">
        <v>148</v>
      </c>
      <c r="F141" s="6">
        <v>2</v>
      </c>
      <c r="G141" s="6">
        <v>154</v>
      </c>
      <c r="H141" s="6">
        <v>2</v>
      </c>
      <c r="I141" s="6">
        <f t="shared" si="3"/>
        <v>308</v>
      </c>
      <c r="J141" s="6">
        <f t="shared" si="1"/>
        <v>46.199999999999996</v>
      </c>
      <c r="K141" s="80">
        <f t="shared" si="2"/>
        <v>354.2</v>
      </c>
      <c r="L141" s="91" t="s">
        <v>25</v>
      </c>
      <c r="M141" s="16"/>
    </row>
    <row r="142" spans="1:13" x14ac:dyDescent="0.3">
      <c r="A142" s="2">
        <v>46020</v>
      </c>
      <c r="B142" s="5">
        <v>1241</v>
      </c>
      <c r="C142" s="5" t="s">
        <v>130</v>
      </c>
      <c r="D142" s="5" t="s">
        <v>32</v>
      </c>
      <c r="E142" s="5" t="s">
        <v>152</v>
      </c>
      <c r="F142" s="6">
        <v>100</v>
      </c>
      <c r="G142" s="6">
        <v>290</v>
      </c>
      <c r="H142" s="6">
        <v>100</v>
      </c>
      <c r="I142" s="6">
        <f t="shared" si="3"/>
        <v>29000</v>
      </c>
      <c r="J142" s="6">
        <f t="shared" si="1"/>
        <v>4350</v>
      </c>
      <c r="K142" s="80">
        <f t="shared" si="2"/>
        <v>33350</v>
      </c>
      <c r="L142" s="91" t="s">
        <v>25</v>
      </c>
      <c r="M142" s="95"/>
    </row>
    <row r="143" spans="1:13" x14ac:dyDescent="0.3">
      <c r="A143" s="2">
        <v>46020</v>
      </c>
      <c r="B143" s="5">
        <v>1241</v>
      </c>
      <c r="C143" s="5" t="s">
        <v>130</v>
      </c>
      <c r="D143" s="5" t="s">
        <v>32</v>
      </c>
      <c r="E143" s="5" t="s">
        <v>138</v>
      </c>
      <c r="F143" s="6">
        <v>10</v>
      </c>
      <c r="G143" s="6">
        <v>419</v>
      </c>
      <c r="H143" s="6">
        <v>10</v>
      </c>
      <c r="I143" s="6">
        <f t="shared" si="3"/>
        <v>4190</v>
      </c>
      <c r="J143" s="6">
        <f t="shared" si="1"/>
        <v>628.5</v>
      </c>
      <c r="K143" s="80">
        <f t="shared" si="2"/>
        <v>4818.5</v>
      </c>
      <c r="L143" s="91" t="s">
        <v>25</v>
      </c>
      <c r="M143" s="95"/>
    </row>
    <row r="144" spans="1:13" x14ac:dyDescent="0.3">
      <c r="A144" s="2">
        <v>46020</v>
      </c>
      <c r="B144" s="5">
        <v>1243</v>
      </c>
      <c r="C144" s="5" t="s">
        <v>130</v>
      </c>
      <c r="D144" s="1" t="s">
        <v>200</v>
      </c>
      <c r="E144" s="5" t="s">
        <v>201</v>
      </c>
      <c r="F144" s="6">
        <v>50</v>
      </c>
      <c r="G144" s="6">
        <v>290</v>
      </c>
      <c r="H144" s="6">
        <v>50</v>
      </c>
      <c r="I144" s="6">
        <f t="shared" si="3"/>
        <v>14500</v>
      </c>
      <c r="J144" s="6">
        <f t="shared" si="1"/>
        <v>2175</v>
      </c>
      <c r="K144" s="80">
        <f t="shared" si="2"/>
        <v>16675</v>
      </c>
      <c r="L144" s="91" t="s">
        <v>25</v>
      </c>
      <c r="M144" s="95"/>
    </row>
    <row r="145" spans="1:13" x14ac:dyDescent="0.3">
      <c r="A145" s="2">
        <v>46020</v>
      </c>
      <c r="B145" s="5">
        <v>1244</v>
      </c>
      <c r="C145" s="5" t="s">
        <v>130</v>
      </c>
      <c r="D145" s="5" t="s">
        <v>133</v>
      </c>
      <c r="E145" s="5" t="s">
        <v>11</v>
      </c>
      <c r="F145" s="6">
        <v>200</v>
      </c>
      <c r="G145" s="6">
        <v>168.5</v>
      </c>
      <c r="H145" s="6">
        <v>200</v>
      </c>
      <c r="I145" s="6">
        <f t="shared" si="3"/>
        <v>33700</v>
      </c>
      <c r="J145" s="6">
        <f t="shared" si="1"/>
        <v>5055</v>
      </c>
      <c r="K145" s="80">
        <f t="shared" si="2"/>
        <v>38755</v>
      </c>
      <c r="L145" s="91" t="s">
        <v>25</v>
      </c>
      <c r="M145" s="95"/>
    </row>
    <row r="146" spans="1:13" x14ac:dyDescent="0.3">
      <c r="A146" s="2">
        <v>46020</v>
      </c>
      <c r="B146" s="5">
        <v>1245</v>
      </c>
      <c r="C146" s="5" t="s">
        <v>130</v>
      </c>
      <c r="D146" s="1" t="s">
        <v>150</v>
      </c>
      <c r="E146" s="5" t="s">
        <v>46</v>
      </c>
      <c r="F146" s="6">
        <v>8</v>
      </c>
      <c r="G146" s="6">
        <v>25</v>
      </c>
      <c r="H146" s="6">
        <v>188.39</v>
      </c>
      <c r="I146" s="6">
        <f t="shared" si="3"/>
        <v>4709.75</v>
      </c>
      <c r="J146" s="6">
        <f t="shared" si="1"/>
        <v>706.46249999999998</v>
      </c>
      <c r="K146" s="80">
        <f t="shared" si="2"/>
        <v>5416.2124999999996</v>
      </c>
      <c r="L146" s="91" t="s">
        <v>25</v>
      </c>
      <c r="M146" s="16"/>
    </row>
    <row r="147" spans="1:13" x14ac:dyDescent="0.3">
      <c r="A147" s="2">
        <v>46020</v>
      </c>
      <c r="B147" s="5">
        <v>1246</v>
      </c>
      <c r="C147" s="5" t="s">
        <v>130</v>
      </c>
      <c r="D147" s="5" t="s">
        <v>194</v>
      </c>
      <c r="E147" s="5" t="s">
        <v>139</v>
      </c>
      <c r="F147" s="6">
        <v>30</v>
      </c>
      <c r="G147" s="6">
        <v>338</v>
      </c>
      <c r="H147" s="6">
        <v>30</v>
      </c>
      <c r="I147" s="6">
        <f t="shared" si="3"/>
        <v>10140</v>
      </c>
      <c r="J147" s="6">
        <f t="shared" si="1"/>
        <v>1521</v>
      </c>
      <c r="K147" s="80">
        <f t="shared" si="2"/>
        <v>11661</v>
      </c>
      <c r="L147" s="91" t="s">
        <v>25</v>
      </c>
      <c r="M147" s="95"/>
    </row>
    <row r="148" spans="1:13" x14ac:dyDescent="0.3">
      <c r="A148" s="2">
        <v>46020</v>
      </c>
      <c r="B148" s="5">
        <v>1246</v>
      </c>
      <c r="C148" s="5" t="s">
        <v>130</v>
      </c>
      <c r="D148" s="5" t="s">
        <v>194</v>
      </c>
      <c r="E148" s="5" t="s">
        <v>138</v>
      </c>
      <c r="F148" s="6">
        <v>10</v>
      </c>
      <c r="G148" s="6">
        <v>425</v>
      </c>
      <c r="H148" s="6">
        <v>10</v>
      </c>
      <c r="I148" s="6">
        <f t="shared" si="3"/>
        <v>4250</v>
      </c>
      <c r="J148" s="6">
        <f t="shared" si="1"/>
        <v>637.5</v>
      </c>
      <c r="K148" s="80">
        <f t="shared" si="2"/>
        <v>4887.5</v>
      </c>
      <c r="L148" s="91" t="s">
        <v>25</v>
      </c>
    </row>
    <row r="149" spans="1:13" x14ac:dyDescent="0.3">
      <c r="A149" s="2">
        <v>46020</v>
      </c>
      <c r="B149" s="5">
        <v>1247</v>
      </c>
      <c r="C149" s="5" t="s">
        <v>130</v>
      </c>
      <c r="D149" s="5" t="s">
        <v>123</v>
      </c>
      <c r="E149" s="5" t="s">
        <v>139</v>
      </c>
      <c r="F149" s="6">
        <v>5</v>
      </c>
      <c r="G149" s="6">
        <v>338</v>
      </c>
      <c r="H149" s="6">
        <v>5</v>
      </c>
      <c r="I149" s="6">
        <f t="shared" si="3"/>
        <v>1690</v>
      </c>
      <c r="J149" s="6">
        <f t="shared" si="1"/>
        <v>253.5</v>
      </c>
      <c r="K149" s="80">
        <f t="shared" si="2"/>
        <v>1943.5</v>
      </c>
      <c r="L149" s="91" t="s">
        <v>25</v>
      </c>
      <c r="M149" s="95"/>
    </row>
    <row r="150" spans="1:13" x14ac:dyDescent="0.3">
      <c r="A150" s="2">
        <v>46020</v>
      </c>
      <c r="B150" s="5">
        <v>1247</v>
      </c>
      <c r="C150" s="5" t="s">
        <v>130</v>
      </c>
      <c r="D150" s="5" t="s">
        <v>123</v>
      </c>
      <c r="E150" s="5" t="s">
        <v>148</v>
      </c>
      <c r="F150" s="6">
        <v>15</v>
      </c>
      <c r="G150" s="6">
        <v>155</v>
      </c>
      <c r="H150" s="6">
        <v>15</v>
      </c>
      <c r="I150" s="6">
        <f t="shared" si="3"/>
        <v>2325</v>
      </c>
      <c r="J150" s="6">
        <f t="shared" si="1"/>
        <v>348.75</v>
      </c>
      <c r="K150" s="80">
        <f t="shared" si="2"/>
        <v>2673.75</v>
      </c>
      <c r="L150" s="91" t="s">
        <v>25</v>
      </c>
    </row>
    <row r="151" spans="1:13" x14ac:dyDescent="0.3">
      <c r="A151" s="2">
        <v>46020</v>
      </c>
      <c r="B151" s="5">
        <v>1247</v>
      </c>
      <c r="C151" s="5" t="s">
        <v>130</v>
      </c>
      <c r="D151" s="5" t="s">
        <v>123</v>
      </c>
      <c r="E151" s="5" t="s">
        <v>121</v>
      </c>
      <c r="F151" s="6">
        <v>25</v>
      </c>
      <c r="G151" s="6">
        <v>44</v>
      </c>
      <c r="H151" s="6">
        <v>25</v>
      </c>
      <c r="I151" s="6">
        <f t="shared" si="3"/>
        <v>1100</v>
      </c>
      <c r="J151" s="6">
        <f t="shared" si="1"/>
        <v>165</v>
      </c>
      <c r="K151" s="80">
        <f t="shared" si="2"/>
        <v>1265</v>
      </c>
      <c r="L151" s="91" t="s">
        <v>25</v>
      </c>
    </row>
    <row r="152" spans="1:13" x14ac:dyDescent="0.3">
      <c r="A152" s="2">
        <v>46021</v>
      </c>
      <c r="B152" s="5">
        <v>1249</v>
      </c>
      <c r="C152" s="5" t="s">
        <v>130</v>
      </c>
      <c r="D152" s="1" t="s">
        <v>150</v>
      </c>
      <c r="E152" s="5" t="s">
        <v>46</v>
      </c>
      <c r="F152" s="6">
        <v>18</v>
      </c>
      <c r="G152" s="6">
        <v>25</v>
      </c>
      <c r="H152" s="6">
        <v>435.04</v>
      </c>
      <c r="I152" s="6">
        <f t="shared" si="3"/>
        <v>10876</v>
      </c>
      <c r="J152" s="6">
        <f t="shared" si="1"/>
        <v>1631.3999999999999</v>
      </c>
      <c r="K152" s="80">
        <f t="shared" si="2"/>
        <v>12507.4</v>
      </c>
      <c r="L152" s="91" t="s">
        <v>25</v>
      </c>
      <c r="M152" s="16"/>
    </row>
    <row r="153" spans="1:13" x14ac:dyDescent="0.3">
      <c r="A153" s="2">
        <v>46021</v>
      </c>
      <c r="B153" s="5">
        <v>1249</v>
      </c>
      <c r="C153" s="5" t="s">
        <v>130</v>
      </c>
      <c r="D153" s="5" t="s">
        <v>150</v>
      </c>
      <c r="E153" s="5" t="s">
        <v>148</v>
      </c>
      <c r="F153" s="6">
        <v>2</v>
      </c>
      <c r="G153" s="6">
        <v>154</v>
      </c>
      <c r="H153" s="6">
        <v>2</v>
      </c>
      <c r="I153" s="6">
        <f t="shared" si="3"/>
        <v>308</v>
      </c>
      <c r="J153" s="6">
        <f t="shared" si="1"/>
        <v>46.199999999999996</v>
      </c>
      <c r="K153" s="80">
        <f t="shared" si="2"/>
        <v>354.2</v>
      </c>
      <c r="L153" s="91" t="s">
        <v>25</v>
      </c>
      <c r="M153" s="16"/>
    </row>
    <row r="154" spans="1:13" x14ac:dyDescent="0.3">
      <c r="A154" s="2">
        <v>46021</v>
      </c>
      <c r="B154" s="5">
        <v>1250</v>
      </c>
      <c r="C154" s="5" t="s">
        <v>130</v>
      </c>
      <c r="D154" s="5" t="s">
        <v>154</v>
      </c>
      <c r="E154" s="5" t="s">
        <v>139</v>
      </c>
      <c r="F154" s="6">
        <v>150</v>
      </c>
      <c r="G154" s="6">
        <v>336</v>
      </c>
      <c r="H154" s="6">
        <v>150</v>
      </c>
      <c r="I154" s="6">
        <f t="shared" si="3"/>
        <v>50400</v>
      </c>
      <c r="J154" s="6">
        <f t="shared" si="1"/>
        <v>7560</v>
      </c>
      <c r="K154" s="80">
        <f t="shared" si="2"/>
        <v>57960</v>
      </c>
      <c r="L154" s="91" t="s">
        <v>25</v>
      </c>
      <c r="M154" s="95"/>
    </row>
    <row r="155" spans="1:13" x14ac:dyDescent="0.3">
      <c r="A155" s="2">
        <v>46022</v>
      </c>
      <c r="B155" s="5">
        <v>1251</v>
      </c>
      <c r="C155" s="5" t="s">
        <v>130</v>
      </c>
      <c r="D155" s="5" t="s">
        <v>123</v>
      </c>
      <c r="E155" s="5" t="s">
        <v>204</v>
      </c>
      <c r="F155" s="6">
        <v>10</v>
      </c>
      <c r="G155" s="6">
        <v>778.5</v>
      </c>
      <c r="H155" s="6">
        <v>10</v>
      </c>
      <c r="I155" s="6">
        <f t="shared" si="3"/>
        <v>7785</v>
      </c>
      <c r="J155" s="6">
        <f t="shared" si="1"/>
        <v>1167.75</v>
      </c>
      <c r="K155" s="80">
        <f t="shared" si="2"/>
        <v>8952.75</v>
      </c>
      <c r="L155" s="91" t="s">
        <v>25</v>
      </c>
    </row>
    <row r="156" spans="1:13" x14ac:dyDescent="0.3">
      <c r="A156" s="2">
        <v>46022</v>
      </c>
      <c r="B156" s="143">
        <v>1252</v>
      </c>
      <c r="C156" s="5" t="s">
        <v>130</v>
      </c>
      <c r="D156" s="5" t="s">
        <v>208</v>
      </c>
      <c r="E156" s="5" t="s">
        <v>152</v>
      </c>
      <c r="F156" s="6">
        <v>500</v>
      </c>
      <c r="G156" s="6">
        <v>292</v>
      </c>
      <c r="H156" s="6">
        <v>500</v>
      </c>
      <c r="I156" s="6">
        <f t="shared" si="3"/>
        <v>146000</v>
      </c>
      <c r="J156" s="6">
        <f t="shared" si="1"/>
        <v>21900</v>
      </c>
      <c r="K156" s="80">
        <f t="shared" si="2"/>
        <v>167900</v>
      </c>
      <c r="L156" s="91" t="s">
        <v>25</v>
      </c>
      <c r="M156" s="138"/>
    </row>
    <row r="157" spans="1:13" x14ac:dyDescent="0.3">
      <c r="A157" s="2">
        <v>46022</v>
      </c>
      <c r="B157" s="5">
        <v>1253</v>
      </c>
      <c r="C157" s="5" t="s">
        <v>130</v>
      </c>
      <c r="D157" s="5" t="s">
        <v>88</v>
      </c>
      <c r="E157" s="5" t="s">
        <v>164</v>
      </c>
      <c r="F157" s="6">
        <v>1</v>
      </c>
      <c r="G157" s="6">
        <v>290</v>
      </c>
      <c r="H157" s="6">
        <v>1</v>
      </c>
      <c r="I157" s="6">
        <f t="shared" si="3"/>
        <v>290</v>
      </c>
      <c r="J157" s="6">
        <f t="shared" si="1"/>
        <v>43.5</v>
      </c>
      <c r="K157" s="140">
        <f t="shared" si="2"/>
        <v>333.5</v>
      </c>
      <c r="L157" s="139" t="s">
        <v>25</v>
      </c>
      <c r="M157" s="138"/>
    </row>
    <row r="158" spans="1:13" x14ac:dyDescent="0.3">
      <c r="A158" s="2">
        <v>46022</v>
      </c>
      <c r="B158" s="5">
        <v>1254</v>
      </c>
      <c r="C158" s="5" t="s">
        <v>130</v>
      </c>
      <c r="D158" s="5" t="s">
        <v>150</v>
      </c>
      <c r="E158" s="5" t="s">
        <v>46</v>
      </c>
      <c r="F158" s="6">
        <v>4</v>
      </c>
      <c r="G158" s="6">
        <v>25</v>
      </c>
      <c r="H158" s="6">
        <v>100.52</v>
      </c>
      <c r="I158" s="6">
        <f t="shared" si="3"/>
        <v>2513</v>
      </c>
      <c r="J158" s="6">
        <f t="shared" si="1"/>
        <v>376.95</v>
      </c>
      <c r="K158" s="80">
        <f t="shared" si="2"/>
        <v>2889.95</v>
      </c>
      <c r="L158" s="91" t="s">
        <v>25</v>
      </c>
    </row>
    <row r="159" spans="1:13" x14ac:dyDescent="0.3">
      <c r="A159" s="2">
        <v>46022</v>
      </c>
      <c r="B159" s="5">
        <v>1254</v>
      </c>
      <c r="C159" s="5" t="s">
        <v>130</v>
      </c>
      <c r="D159" s="5" t="s">
        <v>150</v>
      </c>
      <c r="E159" s="5" t="s">
        <v>148</v>
      </c>
      <c r="F159" s="6">
        <v>3</v>
      </c>
      <c r="G159" s="6">
        <v>153</v>
      </c>
      <c r="H159" s="6">
        <v>3</v>
      </c>
      <c r="I159" s="6">
        <f t="shared" si="3"/>
        <v>459</v>
      </c>
      <c r="J159" s="6">
        <f t="shared" si="1"/>
        <v>68.849999999999994</v>
      </c>
      <c r="K159" s="80">
        <f t="shared" si="2"/>
        <v>527.85</v>
      </c>
      <c r="L159" s="91" t="s">
        <v>25</v>
      </c>
    </row>
    <row r="160" spans="1:13" x14ac:dyDescent="0.3">
      <c r="A160" s="2">
        <v>46022</v>
      </c>
      <c r="B160" s="5">
        <v>1255</v>
      </c>
      <c r="C160" s="5" t="s">
        <v>130</v>
      </c>
      <c r="D160" s="5" t="s">
        <v>209</v>
      </c>
      <c r="E160" s="5" t="s">
        <v>148</v>
      </c>
      <c r="F160" s="6">
        <v>100</v>
      </c>
      <c r="G160" s="6">
        <v>152</v>
      </c>
      <c r="H160" s="6">
        <v>100</v>
      </c>
      <c r="I160" s="6">
        <f t="shared" si="3"/>
        <v>15200</v>
      </c>
      <c r="J160" s="6">
        <f t="shared" si="1"/>
        <v>2280</v>
      </c>
      <c r="K160" s="80">
        <f t="shared" si="2"/>
        <v>17480</v>
      </c>
      <c r="L160" s="91" t="s">
        <v>25</v>
      </c>
      <c r="M160" s="95"/>
    </row>
    <row r="161" spans="1:13" x14ac:dyDescent="0.3">
      <c r="A161" s="2">
        <v>46022</v>
      </c>
      <c r="B161" s="5">
        <v>1256</v>
      </c>
      <c r="C161" s="5" t="s">
        <v>130</v>
      </c>
      <c r="D161" s="5" t="s">
        <v>86</v>
      </c>
      <c r="E161" s="5" t="s">
        <v>46</v>
      </c>
      <c r="F161" s="6">
        <v>10</v>
      </c>
      <c r="G161" s="6">
        <v>25</v>
      </c>
      <c r="H161" s="6">
        <v>228.1</v>
      </c>
      <c r="I161" s="6">
        <f t="shared" si="3"/>
        <v>5702.5</v>
      </c>
      <c r="J161" s="6">
        <f t="shared" si="1"/>
        <v>855.375</v>
      </c>
      <c r="K161" s="80">
        <f t="shared" si="2"/>
        <v>6557.875</v>
      </c>
      <c r="L161" s="91" t="s">
        <v>25</v>
      </c>
      <c r="M161" s="95"/>
    </row>
    <row r="162" spans="1:13" x14ac:dyDescent="0.3">
      <c r="A162" s="2"/>
      <c r="B162" s="5"/>
      <c r="C162" s="5"/>
      <c r="D162" s="5"/>
      <c r="E162" s="5"/>
      <c r="F162" s="6"/>
      <c r="G162" s="6"/>
      <c r="H162" s="6"/>
      <c r="I162" s="6">
        <f t="shared" si="3"/>
        <v>0</v>
      </c>
      <c r="J162" s="6">
        <f t="shared" si="1"/>
        <v>0</v>
      </c>
      <c r="K162" s="3">
        <f t="shared" si="2"/>
        <v>0</v>
      </c>
      <c r="L162" s="17"/>
    </row>
    <row r="163" spans="1:13" x14ac:dyDescent="0.3">
      <c r="A163" s="2"/>
      <c r="B163" s="5"/>
      <c r="C163" s="5"/>
      <c r="D163" s="5"/>
      <c r="E163" s="5"/>
      <c r="F163" s="6"/>
      <c r="G163" s="6"/>
      <c r="H163" s="6"/>
      <c r="I163" s="6">
        <f t="shared" si="3"/>
        <v>0</v>
      </c>
      <c r="J163" s="6">
        <f t="shared" si="1"/>
        <v>0</v>
      </c>
      <c r="K163" s="3">
        <f t="shared" si="2"/>
        <v>0</v>
      </c>
      <c r="L163" s="17"/>
    </row>
    <row r="164" spans="1:13" x14ac:dyDescent="0.3">
      <c r="A164" s="2"/>
      <c r="B164" s="5"/>
      <c r="C164" s="5"/>
      <c r="D164" s="5"/>
      <c r="E164" s="5"/>
      <c r="F164" s="6"/>
      <c r="G164" s="6"/>
      <c r="H164" s="6"/>
      <c r="I164" s="6">
        <f t="shared" si="3"/>
        <v>0</v>
      </c>
      <c r="J164" s="6">
        <f t="shared" si="1"/>
        <v>0</v>
      </c>
      <c r="K164" s="3">
        <f t="shared" si="2"/>
        <v>0</v>
      </c>
      <c r="L164" s="17"/>
    </row>
    <row r="165" spans="1:13" x14ac:dyDescent="0.3">
      <c r="A165" s="2"/>
      <c r="B165" s="5"/>
      <c r="C165" s="5"/>
      <c r="D165" s="5"/>
      <c r="E165" s="5"/>
      <c r="F165" s="6"/>
      <c r="G165" s="6"/>
      <c r="H165" s="6"/>
      <c r="I165" s="6">
        <f t="shared" si="3"/>
        <v>0</v>
      </c>
      <c r="J165" s="6">
        <f t="shared" si="1"/>
        <v>0</v>
      </c>
      <c r="K165" s="13">
        <f t="shared" si="2"/>
        <v>0</v>
      </c>
      <c r="L165" s="17"/>
    </row>
    <row r="166" spans="1:13" x14ac:dyDescent="0.3">
      <c r="A166" s="12"/>
      <c r="B166" s="5"/>
      <c r="C166" s="5"/>
      <c r="D166" s="5"/>
      <c r="E166" s="5"/>
      <c r="F166" s="14">
        <f>SUBTOTAL(9,F3:F165)</f>
        <v>7104</v>
      </c>
      <c r="G166" s="14"/>
      <c r="H166" s="14">
        <f t="shared" ref="H166:K166" si="4">SUBTOTAL(9,H3:H165)</f>
        <v>16084.119999999997</v>
      </c>
      <c r="I166" s="14">
        <f t="shared" si="4"/>
        <v>2109089.071</v>
      </c>
      <c r="J166" s="14">
        <f t="shared" si="4"/>
        <v>316363.36065000005</v>
      </c>
      <c r="K166" s="14">
        <f t="shared" si="4"/>
        <v>2425452.4316500002</v>
      </c>
      <c r="L166" s="7"/>
    </row>
    <row r="167" spans="1:13" x14ac:dyDescent="0.3">
      <c r="I167" s="137">
        <f>I166/H166</f>
        <v>131.12865801797054</v>
      </c>
      <c r="K167" s="40"/>
    </row>
    <row r="168" spans="1:13" x14ac:dyDescent="0.3">
      <c r="F168" s="14">
        <f>SUBTOTAL(9,F3:F165)</f>
        <v>7104</v>
      </c>
      <c r="G168" s="14"/>
      <c r="H168" s="14">
        <f t="shared" ref="H168:K168" si="5">SUBTOTAL(9,H3:H165)</f>
        <v>16084.119999999997</v>
      </c>
      <c r="I168" s="14">
        <f t="shared" si="5"/>
        <v>2109089.071</v>
      </c>
      <c r="J168" s="14">
        <f t="shared" si="5"/>
        <v>316363.36065000005</v>
      </c>
      <c r="K168" s="14">
        <f t="shared" si="5"/>
        <v>2425452.4316500002</v>
      </c>
    </row>
    <row r="169" spans="1:13" x14ac:dyDescent="0.3">
      <c r="I169" s="137">
        <f>I168/H168</f>
        <v>131.12865801797054</v>
      </c>
      <c r="K169" s="40"/>
    </row>
    <row r="173" spans="1:13" x14ac:dyDescent="0.3">
      <c r="I173" s="40">
        <f>I166+'مبيعات شهر نوفمبر'!I159+'مبيعات شهر اكتوبر '!I62</f>
        <v>5107995.7364999987</v>
      </c>
    </row>
    <row r="174" spans="1:13" x14ac:dyDescent="0.3">
      <c r="I174">
        <v>1107000</v>
      </c>
    </row>
    <row r="177" spans="5:5" x14ac:dyDescent="0.3">
      <c r="E177">
        <v>33500</v>
      </c>
    </row>
    <row r="178" spans="5:5" x14ac:dyDescent="0.3">
      <c r="E178">
        <v>2000</v>
      </c>
    </row>
    <row r="179" spans="5:5" x14ac:dyDescent="0.3">
      <c r="E179">
        <v>1700</v>
      </c>
    </row>
    <row r="180" spans="5:5" x14ac:dyDescent="0.3">
      <c r="E180">
        <v>274</v>
      </c>
    </row>
  </sheetData>
  <autoFilter ref="A2:N167" xr:uid="{52FD6B0B-5366-4885-AF7C-9A60487668C4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1EC3C-5630-48AB-BF56-71ADF0529CAC}">
  <dimension ref="A1:T164"/>
  <sheetViews>
    <sheetView rightToLeft="1" zoomScale="90" zoomScaleNormal="90" workbookViewId="0">
      <pane ySplit="2" topLeftCell="A121" activePane="bottomLeft" state="frozen"/>
      <selection activeCell="K49" activeCellId="1" sqref="K31 K49:K50"/>
      <selection pane="bottomLeft" activeCell="M141" sqref="M141"/>
    </sheetView>
  </sheetViews>
  <sheetFormatPr defaultRowHeight="14.4" x14ac:dyDescent="0.3"/>
  <cols>
    <col min="1" max="1" width="14.88671875" customWidth="1"/>
    <col min="2" max="2" width="10.44140625" customWidth="1"/>
    <col min="3" max="3" width="8.88671875" customWidth="1"/>
    <col min="4" max="4" width="34.109375" bestFit="1" customWidth="1"/>
    <col min="5" max="5" width="26.88671875" customWidth="1"/>
    <col min="6" max="6" width="19.33203125" customWidth="1"/>
    <col min="7" max="7" width="8.88671875" customWidth="1"/>
    <col min="8" max="8" width="15.6640625" style="11" bestFit="1" customWidth="1"/>
    <col min="9" max="9" width="12.77734375" style="11" customWidth="1"/>
    <col min="10" max="10" width="11.6640625" style="11" customWidth="1"/>
    <col min="11" max="11" width="12.6640625" style="11" bestFit="1" customWidth="1"/>
    <col min="12" max="12" width="18.77734375" style="11" customWidth="1"/>
    <col min="13" max="13" width="27.6640625" customWidth="1"/>
    <col min="14" max="14" width="18.88671875" customWidth="1"/>
    <col min="15" max="15" width="15.88671875" customWidth="1"/>
  </cols>
  <sheetData>
    <row r="1" spans="1:15" ht="15.6" x14ac:dyDescent="0.3">
      <c r="H1" s="9" t="s">
        <v>70</v>
      </c>
    </row>
    <row r="2" spans="1:15" x14ac:dyDescent="0.3">
      <c r="A2" s="15" t="s">
        <v>0</v>
      </c>
      <c r="B2" s="15" t="s">
        <v>1</v>
      </c>
      <c r="C2" s="15" t="s">
        <v>129</v>
      </c>
      <c r="D2" s="15" t="s">
        <v>28</v>
      </c>
      <c r="E2" s="15" t="s">
        <v>39</v>
      </c>
      <c r="F2" s="15" t="s">
        <v>59</v>
      </c>
      <c r="G2" s="15" t="s">
        <v>5</v>
      </c>
      <c r="H2" s="15" t="s">
        <v>36</v>
      </c>
      <c r="I2" s="15" t="s">
        <v>37</v>
      </c>
      <c r="J2" s="15" t="s">
        <v>8</v>
      </c>
      <c r="K2" s="15" t="s">
        <v>38</v>
      </c>
      <c r="L2" s="15" t="s">
        <v>24</v>
      </c>
      <c r="M2" s="24" t="s">
        <v>48</v>
      </c>
      <c r="N2" s="25" t="s">
        <v>54</v>
      </c>
      <c r="O2" s="25"/>
    </row>
    <row r="3" spans="1:15" x14ac:dyDescent="0.3">
      <c r="A3" s="2">
        <v>45962</v>
      </c>
      <c r="B3" s="143">
        <v>1039</v>
      </c>
      <c r="C3" s="5" t="s">
        <v>130</v>
      </c>
      <c r="D3" s="5" t="s">
        <v>69</v>
      </c>
      <c r="E3" s="1" t="s">
        <v>43</v>
      </c>
      <c r="F3" s="6">
        <v>25</v>
      </c>
      <c r="G3" s="6">
        <v>166</v>
      </c>
      <c r="H3" s="45">
        <v>25</v>
      </c>
      <c r="I3" s="6">
        <f>H3*G3</f>
        <v>4150</v>
      </c>
      <c r="J3" s="1">
        <f t="shared" ref="J3:J158" si="0">I3*15%</f>
        <v>622.5</v>
      </c>
      <c r="K3" s="55">
        <f t="shared" ref="K3:K158" si="1">I3+J3</f>
        <v>4772.5</v>
      </c>
      <c r="L3" s="58" t="s">
        <v>25</v>
      </c>
      <c r="M3" s="57"/>
      <c r="N3" s="26"/>
      <c r="O3" s="26"/>
    </row>
    <row r="4" spans="1:15" x14ac:dyDescent="0.3">
      <c r="A4" s="2">
        <v>45962</v>
      </c>
      <c r="B4" s="5">
        <v>1040</v>
      </c>
      <c r="C4" s="5" t="s">
        <v>130</v>
      </c>
      <c r="D4" s="5" t="s">
        <v>32</v>
      </c>
      <c r="E4" s="5" t="s">
        <v>17</v>
      </c>
      <c r="F4" s="73">
        <v>30</v>
      </c>
      <c r="G4" s="6">
        <v>280</v>
      </c>
      <c r="H4" s="45">
        <v>30</v>
      </c>
      <c r="I4" s="6">
        <f>H4*G4</f>
        <v>8400</v>
      </c>
      <c r="J4" s="1">
        <f t="shared" si="0"/>
        <v>1260</v>
      </c>
      <c r="K4" s="75">
        <f t="shared" si="1"/>
        <v>9660</v>
      </c>
      <c r="L4" s="25" t="s">
        <v>25</v>
      </c>
      <c r="M4" s="28"/>
      <c r="N4" s="26"/>
      <c r="O4" s="26"/>
    </row>
    <row r="5" spans="1:15" x14ac:dyDescent="0.3">
      <c r="A5" s="2">
        <v>45962</v>
      </c>
      <c r="B5" s="5">
        <v>1041</v>
      </c>
      <c r="C5" s="5" t="s">
        <v>130</v>
      </c>
      <c r="D5" s="5" t="s">
        <v>47</v>
      </c>
      <c r="E5" s="1" t="s">
        <v>43</v>
      </c>
      <c r="F5" s="6">
        <v>2</v>
      </c>
      <c r="G5" s="6">
        <v>172</v>
      </c>
      <c r="H5" s="45">
        <v>2</v>
      </c>
      <c r="I5" s="6">
        <f>H5*G5</f>
        <v>344</v>
      </c>
      <c r="J5" s="1">
        <f t="shared" si="0"/>
        <v>51.6</v>
      </c>
      <c r="K5" s="81">
        <f t="shared" si="1"/>
        <v>395.6</v>
      </c>
      <c r="L5" s="65" t="s">
        <v>25</v>
      </c>
      <c r="M5" s="84"/>
      <c r="N5" s="26"/>
      <c r="O5" s="26"/>
    </row>
    <row r="6" spans="1:15" x14ac:dyDescent="0.3">
      <c r="A6" s="2">
        <v>45962</v>
      </c>
      <c r="B6" s="5">
        <v>1041</v>
      </c>
      <c r="C6" s="5" t="s">
        <v>130</v>
      </c>
      <c r="D6" s="5" t="s">
        <v>47</v>
      </c>
      <c r="E6" s="1" t="s">
        <v>18</v>
      </c>
      <c r="F6" s="6">
        <v>1</v>
      </c>
      <c r="G6" s="6">
        <v>333</v>
      </c>
      <c r="H6" s="45">
        <v>1</v>
      </c>
      <c r="I6" s="6">
        <f>H6*G6</f>
        <v>333</v>
      </c>
      <c r="J6" s="1">
        <f t="shared" si="0"/>
        <v>49.949999999999996</v>
      </c>
      <c r="K6" s="81">
        <f t="shared" si="1"/>
        <v>382.95</v>
      </c>
      <c r="L6" s="65" t="s">
        <v>25</v>
      </c>
      <c r="M6" s="84"/>
      <c r="N6" s="26"/>
      <c r="O6" s="26"/>
    </row>
    <row r="7" spans="1:15" x14ac:dyDescent="0.3">
      <c r="A7" s="2">
        <v>45962</v>
      </c>
      <c r="B7" s="5">
        <v>1042</v>
      </c>
      <c r="C7" s="5" t="s">
        <v>130</v>
      </c>
      <c r="D7" s="1" t="s">
        <v>23</v>
      </c>
      <c r="E7" s="5" t="s">
        <v>11</v>
      </c>
      <c r="F7" s="6">
        <v>250</v>
      </c>
      <c r="G7" s="6">
        <v>172</v>
      </c>
      <c r="H7" s="45">
        <v>250</v>
      </c>
      <c r="I7" s="6">
        <f>H7*G7</f>
        <v>43000</v>
      </c>
      <c r="J7" s="1">
        <f t="shared" si="0"/>
        <v>6450</v>
      </c>
      <c r="K7" s="75">
        <f t="shared" si="1"/>
        <v>49450</v>
      </c>
      <c r="L7" s="56" t="s">
        <v>25</v>
      </c>
      <c r="M7" s="57"/>
      <c r="N7" s="26"/>
      <c r="O7" s="26"/>
    </row>
    <row r="8" spans="1:15" x14ac:dyDescent="0.3">
      <c r="A8" s="2">
        <v>45962</v>
      </c>
      <c r="B8" s="1">
        <v>1044</v>
      </c>
      <c r="C8" s="5" t="s">
        <v>130</v>
      </c>
      <c r="D8" s="1" t="s">
        <v>33</v>
      </c>
      <c r="E8" s="5" t="s">
        <v>17</v>
      </c>
      <c r="F8" s="74">
        <v>11</v>
      </c>
      <c r="G8" s="1">
        <v>282</v>
      </c>
      <c r="H8" s="1">
        <v>11</v>
      </c>
      <c r="I8" s="1">
        <f t="shared" ref="I8:I158" si="2">H8*G8</f>
        <v>3102</v>
      </c>
      <c r="J8" s="1">
        <f t="shared" si="0"/>
        <v>465.29999999999995</v>
      </c>
      <c r="K8" s="78">
        <f t="shared" si="1"/>
        <v>3567.3</v>
      </c>
      <c r="L8" s="4" t="s">
        <v>25</v>
      </c>
      <c r="N8" s="25"/>
      <c r="O8" s="25"/>
    </row>
    <row r="9" spans="1:15" x14ac:dyDescent="0.3">
      <c r="A9" s="12">
        <v>45963</v>
      </c>
      <c r="B9" s="5">
        <v>1045</v>
      </c>
      <c r="C9" s="5" t="s">
        <v>130</v>
      </c>
      <c r="D9" s="5" t="s">
        <v>32</v>
      </c>
      <c r="E9" s="5" t="s">
        <v>17</v>
      </c>
      <c r="F9" s="71">
        <v>20</v>
      </c>
      <c r="G9" s="5">
        <v>281</v>
      </c>
      <c r="H9" s="5">
        <v>20</v>
      </c>
      <c r="I9" s="5">
        <f t="shared" si="2"/>
        <v>5620</v>
      </c>
      <c r="J9" s="5">
        <f t="shared" si="0"/>
        <v>843</v>
      </c>
      <c r="K9" s="76">
        <f t="shared" si="1"/>
        <v>6463</v>
      </c>
      <c r="L9" s="63" t="s">
        <v>25</v>
      </c>
      <c r="M9" s="28"/>
      <c r="N9" s="26"/>
      <c r="O9" s="26"/>
    </row>
    <row r="10" spans="1:15" x14ac:dyDescent="0.3">
      <c r="A10" s="2">
        <v>45963</v>
      </c>
      <c r="B10" s="1" t="s">
        <v>66</v>
      </c>
      <c r="C10" s="5" t="s">
        <v>130</v>
      </c>
      <c r="D10" s="5" t="s">
        <v>65</v>
      </c>
      <c r="E10" s="1" t="s">
        <v>17</v>
      </c>
      <c r="F10" s="62">
        <v>5</v>
      </c>
      <c r="G10" s="1">
        <v>282</v>
      </c>
      <c r="H10" s="5">
        <v>5</v>
      </c>
      <c r="I10" s="1">
        <f t="shared" si="2"/>
        <v>1410</v>
      </c>
      <c r="J10" s="66">
        <f t="shared" si="0"/>
        <v>211.5</v>
      </c>
      <c r="K10" s="82">
        <f t="shared" si="1"/>
        <v>1621.5</v>
      </c>
      <c r="L10" s="65" t="s">
        <v>25</v>
      </c>
      <c r="M10" s="84"/>
      <c r="N10" s="26"/>
      <c r="O10" s="26"/>
    </row>
    <row r="11" spans="1:15" x14ac:dyDescent="0.3">
      <c r="A11" s="2">
        <v>45963</v>
      </c>
      <c r="B11" s="1">
        <v>1046</v>
      </c>
      <c r="C11" s="5" t="s">
        <v>130</v>
      </c>
      <c r="D11" s="5" t="s">
        <v>30</v>
      </c>
      <c r="E11" s="1" t="s">
        <v>17</v>
      </c>
      <c r="F11" s="74">
        <v>25</v>
      </c>
      <c r="G11" s="1">
        <v>281</v>
      </c>
      <c r="H11" s="1">
        <v>25</v>
      </c>
      <c r="I11" s="1">
        <f t="shared" si="2"/>
        <v>7025</v>
      </c>
      <c r="J11" s="1">
        <f t="shared" si="0"/>
        <v>1053.75</v>
      </c>
      <c r="K11" s="81">
        <f t="shared" si="1"/>
        <v>8078.75</v>
      </c>
      <c r="L11" s="65" t="s">
        <v>25</v>
      </c>
      <c r="M11" s="84"/>
      <c r="N11" s="26"/>
      <c r="O11" s="26"/>
    </row>
    <row r="12" spans="1:15" x14ac:dyDescent="0.3">
      <c r="A12" s="2">
        <v>45963</v>
      </c>
      <c r="B12" s="1">
        <v>1047</v>
      </c>
      <c r="C12" s="5" t="s">
        <v>130</v>
      </c>
      <c r="D12" s="1" t="s">
        <v>72</v>
      </c>
      <c r="E12" s="5" t="s">
        <v>46</v>
      </c>
      <c r="F12" s="1">
        <v>95</v>
      </c>
      <c r="G12" s="1">
        <v>24.5</v>
      </c>
      <c r="H12" s="41">
        <v>2062.69</v>
      </c>
      <c r="I12" s="1">
        <f t="shared" si="2"/>
        <v>50535.904999999999</v>
      </c>
      <c r="J12" s="1">
        <f t="shared" si="0"/>
        <v>7580.3857499999995</v>
      </c>
      <c r="K12" s="75">
        <f t="shared" si="1"/>
        <v>58116.29075</v>
      </c>
      <c r="L12" s="64" t="s">
        <v>25</v>
      </c>
      <c r="M12" s="84"/>
      <c r="N12" s="26"/>
      <c r="O12" s="26"/>
    </row>
    <row r="13" spans="1:15" x14ac:dyDescent="0.3">
      <c r="A13" s="2">
        <v>45963</v>
      </c>
      <c r="B13" s="1">
        <v>1048</v>
      </c>
      <c r="C13" s="5" t="s">
        <v>130</v>
      </c>
      <c r="D13" s="1" t="s">
        <v>31</v>
      </c>
      <c r="E13" s="1" t="s">
        <v>17</v>
      </c>
      <c r="F13" s="74">
        <v>50</v>
      </c>
      <c r="G13" s="1">
        <v>282</v>
      </c>
      <c r="H13" s="1">
        <v>50</v>
      </c>
      <c r="I13" s="1">
        <f t="shared" si="2"/>
        <v>14100</v>
      </c>
      <c r="J13" s="1">
        <f t="shared" si="0"/>
        <v>2115</v>
      </c>
      <c r="K13" s="80">
        <f t="shared" si="1"/>
        <v>16215</v>
      </c>
      <c r="L13" s="56" t="s">
        <v>25</v>
      </c>
      <c r="M13" s="10"/>
      <c r="N13" s="26"/>
      <c r="O13" s="26"/>
    </row>
    <row r="14" spans="1:15" x14ac:dyDescent="0.3">
      <c r="A14" s="2">
        <v>45964</v>
      </c>
      <c r="B14" s="1">
        <v>1049</v>
      </c>
      <c r="C14" s="5" t="s">
        <v>130</v>
      </c>
      <c r="D14" s="1" t="s">
        <v>76</v>
      </c>
      <c r="E14" s="1" t="s">
        <v>73</v>
      </c>
      <c r="F14" s="1">
        <v>5</v>
      </c>
      <c r="G14" s="1">
        <v>280</v>
      </c>
      <c r="H14" s="1">
        <v>5</v>
      </c>
      <c r="I14" s="1">
        <f t="shared" si="2"/>
        <v>1400</v>
      </c>
      <c r="J14" s="1">
        <f t="shared" si="0"/>
        <v>210</v>
      </c>
      <c r="K14" s="81">
        <f t="shared" si="1"/>
        <v>1610</v>
      </c>
      <c r="L14" s="65" t="s">
        <v>25</v>
      </c>
      <c r="M14" s="84"/>
      <c r="N14" s="26"/>
      <c r="O14" s="26"/>
    </row>
    <row r="15" spans="1:15" x14ac:dyDescent="0.3">
      <c r="A15" s="2">
        <v>45964</v>
      </c>
      <c r="B15" s="1">
        <v>1049</v>
      </c>
      <c r="C15" s="5" t="s">
        <v>130</v>
      </c>
      <c r="D15" s="1" t="s">
        <v>76</v>
      </c>
      <c r="E15" s="1" t="s">
        <v>74</v>
      </c>
      <c r="F15" s="1">
        <v>5</v>
      </c>
      <c r="G15" s="1">
        <v>390</v>
      </c>
      <c r="H15" s="1">
        <v>5</v>
      </c>
      <c r="I15" s="1">
        <f t="shared" si="2"/>
        <v>1950</v>
      </c>
      <c r="J15" s="1">
        <f t="shared" si="0"/>
        <v>292.5</v>
      </c>
      <c r="K15" s="81">
        <f t="shared" si="1"/>
        <v>2242.5</v>
      </c>
      <c r="L15" s="65" t="s">
        <v>25</v>
      </c>
      <c r="M15" s="84"/>
      <c r="N15" s="26"/>
      <c r="O15" s="26"/>
    </row>
    <row r="16" spans="1:15" x14ac:dyDescent="0.3">
      <c r="A16" s="2">
        <v>45964</v>
      </c>
      <c r="B16" s="1">
        <v>1049</v>
      </c>
      <c r="C16" s="5" t="s">
        <v>130</v>
      </c>
      <c r="D16" s="1" t="s">
        <v>76</v>
      </c>
      <c r="E16" s="1" t="s">
        <v>17</v>
      </c>
      <c r="F16" s="74">
        <v>10</v>
      </c>
      <c r="G16" s="1">
        <v>280</v>
      </c>
      <c r="H16" s="1">
        <v>10</v>
      </c>
      <c r="I16" s="1">
        <f t="shared" si="2"/>
        <v>2800</v>
      </c>
      <c r="J16" s="1">
        <f t="shared" si="0"/>
        <v>420</v>
      </c>
      <c r="K16" s="81">
        <f t="shared" si="1"/>
        <v>3220</v>
      </c>
      <c r="L16" s="65" t="s">
        <v>25</v>
      </c>
      <c r="M16" s="84"/>
      <c r="N16" s="26"/>
      <c r="O16" s="26"/>
    </row>
    <row r="17" spans="1:20" x14ac:dyDescent="0.3">
      <c r="A17" s="2">
        <v>45964</v>
      </c>
      <c r="B17" s="1">
        <v>1049</v>
      </c>
      <c r="C17" s="5" t="s">
        <v>130</v>
      </c>
      <c r="D17" s="1" t="s">
        <v>76</v>
      </c>
      <c r="E17" s="1" t="s">
        <v>19</v>
      </c>
      <c r="F17" s="1">
        <v>2</v>
      </c>
      <c r="G17" s="1">
        <v>661.5</v>
      </c>
      <c r="H17" s="1">
        <v>2</v>
      </c>
      <c r="I17" s="1">
        <f t="shared" si="2"/>
        <v>1323</v>
      </c>
      <c r="J17" s="1">
        <f t="shared" si="0"/>
        <v>198.45</v>
      </c>
      <c r="K17" s="81">
        <f t="shared" si="1"/>
        <v>1521.45</v>
      </c>
      <c r="L17" s="65" t="s">
        <v>25</v>
      </c>
      <c r="M17" s="84"/>
      <c r="N17" s="26"/>
      <c r="O17" s="26"/>
    </row>
    <row r="18" spans="1:20" x14ac:dyDescent="0.3">
      <c r="A18" s="2">
        <v>45964</v>
      </c>
      <c r="B18" s="1">
        <v>1049</v>
      </c>
      <c r="C18" s="5" t="s">
        <v>130</v>
      </c>
      <c r="D18" s="1" t="s">
        <v>76</v>
      </c>
      <c r="E18" s="1" t="s">
        <v>20</v>
      </c>
      <c r="F18" s="1">
        <v>1</v>
      </c>
      <c r="G18" s="1">
        <v>46</v>
      </c>
      <c r="H18" s="1">
        <v>14.7</v>
      </c>
      <c r="I18" s="1">
        <f t="shared" si="2"/>
        <v>676.19999999999993</v>
      </c>
      <c r="J18" s="1">
        <f t="shared" si="0"/>
        <v>101.42999999999999</v>
      </c>
      <c r="K18" s="81">
        <f t="shared" si="1"/>
        <v>777.62999999999988</v>
      </c>
      <c r="L18" s="65" t="s">
        <v>25</v>
      </c>
      <c r="M18" s="84"/>
      <c r="N18" s="26"/>
      <c r="O18" s="26"/>
    </row>
    <row r="19" spans="1:20" x14ac:dyDescent="0.3">
      <c r="A19" s="2">
        <v>45964</v>
      </c>
      <c r="B19" s="1">
        <v>1049</v>
      </c>
      <c r="C19" s="5" t="s">
        <v>130</v>
      </c>
      <c r="D19" s="1" t="s">
        <v>76</v>
      </c>
      <c r="E19" s="5" t="s">
        <v>46</v>
      </c>
      <c r="F19" s="1">
        <v>1</v>
      </c>
      <c r="G19" s="1">
        <v>24.5</v>
      </c>
      <c r="H19" s="1">
        <v>20.77</v>
      </c>
      <c r="I19" s="32">
        <f t="shared" si="2"/>
        <v>508.86500000000001</v>
      </c>
      <c r="J19" s="32">
        <f t="shared" si="0"/>
        <v>76.329750000000004</v>
      </c>
      <c r="K19" s="81">
        <f t="shared" si="1"/>
        <v>585.19475</v>
      </c>
      <c r="L19" s="65" t="s">
        <v>25</v>
      </c>
      <c r="M19" s="84"/>
      <c r="N19" s="26"/>
      <c r="O19" s="26"/>
    </row>
    <row r="20" spans="1:20" x14ac:dyDescent="0.3">
      <c r="A20" s="2">
        <v>45964</v>
      </c>
      <c r="B20" s="5">
        <v>1049</v>
      </c>
      <c r="C20" s="5" t="s">
        <v>130</v>
      </c>
      <c r="D20" s="1" t="s">
        <v>76</v>
      </c>
      <c r="E20" s="5" t="s">
        <v>75</v>
      </c>
      <c r="F20" s="6">
        <v>10</v>
      </c>
      <c r="G20" s="6">
        <v>70</v>
      </c>
      <c r="H20" s="6">
        <v>10</v>
      </c>
      <c r="I20" s="6">
        <f t="shared" si="2"/>
        <v>700</v>
      </c>
      <c r="J20" s="6">
        <f t="shared" si="0"/>
        <v>105</v>
      </c>
      <c r="K20" s="83">
        <f t="shared" si="1"/>
        <v>805</v>
      </c>
      <c r="L20" s="65" t="s">
        <v>25</v>
      </c>
      <c r="M20" s="84"/>
      <c r="N20" s="25"/>
      <c r="O20" s="25"/>
      <c r="P20" s="10"/>
    </row>
    <row r="21" spans="1:20" x14ac:dyDescent="0.3">
      <c r="A21" s="47">
        <v>45964</v>
      </c>
      <c r="B21" s="62">
        <v>1050</v>
      </c>
      <c r="C21" s="5" t="s">
        <v>130</v>
      </c>
      <c r="D21" s="62" t="s">
        <v>76</v>
      </c>
      <c r="E21" s="62" t="s">
        <v>20</v>
      </c>
      <c r="F21" s="50">
        <v>-1</v>
      </c>
      <c r="G21" s="62">
        <v>46</v>
      </c>
      <c r="H21" s="62">
        <v>-14.7</v>
      </c>
      <c r="I21" s="49">
        <f t="shared" si="2"/>
        <v>-676.19999999999993</v>
      </c>
      <c r="J21" s="49">
        <f t="shared" si="0"/>
        <v>-101.42999999999999</v>
      </c>
      <c r="K21" s="83">
        <f t="shared" si="1"/>
        <v>-777.62999999999988</v>
      </c>
      <c r="L21" s="46" t="s">
        <v>68</v>
      </c>
      <c r="M21" s="84"/>
      <c r="N21" s="26"/>
      <c r="O21" s="26"/>
      <c r="P21" s="10"/>
    </row>
    <row r="22" spans="1:20" x14ac:dyDescent="0.3">
      <c r="A22" s="2">
        <v>45964</v>
      </c>
      <c r="B22" s="5">
        <v>1051</v>
      </c>
      <c r="C22" s="5" t="s">
        <v>130</v>
      </c>
      <c r="D22" s="5" t="s">
        <v>77</v>
      </c>
      <c r="E22" s="5" t="s">
        <v>46</v>
      </c>
      <c r="F22" s="6">
        <v>240</v>
      </c>
      <c r="G22" s="6">
        <v>24.5</v>
      </c>
      <c r="H22" s="6">
        <v>5355.58</v>
      </c>
      <c r="I22" s="6">
        <f>H22*G22</f>
        <v>131211.71</v>
      </c>
      <c r="J22" s="6">
        <f t="shared" si="0"/>
        <v>19681.7565</v>
      </c>
      <c r="K22" s="13">
        <f t="shared" si="1"/>
        <v>150893.46649999998</v>
      </c>
      <c r="L22" s="17" t="s">
        <v>25</v>
      </c>
      <c r="M22" s="10"/>
      <c r="N22" s="26"/>
      <c r="O22" s="26"/>
      <c r="P22" s="10"/>
    </row>
    <row r="23" spans="1:20" x14ac:dyDescent="0.3">
      <c r="A23" s="47">
        <v>45970</v>
      </c>
      <c r="B23" s="48">
        <v>1062</v>
      </c>
      <c r="C23" s="5" t="s">
        <v>130</v>
      </c>
      <c r="D23" s="48" t="s">
        <v>77</v>
      </c>
      <c r="E23" s="48" t="s">
        <v>46</v>
      </c>
      <c r="F23" s="49">
        <v>-154</v>
      </c>
      <c r="G23" s="49">
        <v>24.5</v>
      </c>
      <c r="H23" s="49">
        <v>-3473.39</v>
      </c>
      <c r="I23" s="49">
        <f>H23*G23</f>
        <v>-85098.054999999993</v>
      </c>
      <c r="J23" s="49">
        <f t="shared" si="0"/>
        <v>-12764.708249999998</v>
      </c>
      <c r="K23" s="51">
        <f t="shared" si="1"/>
        <v>-97862.763249999989</v>
      </c>
      <c r="L23" s="46" t="s">
        <v>68</v>
      </c>
      <c r="M23" s="10"/>
      <c r="N23" s="26"/>
      <c r="O23" s="26"/>
      <c r="P23" s="10"/>
    </row>
    <row r="24" spans="1:20" x14ac:dyDescent="0.3">
      <c r="A24" s="2">
        <v>45965</v>
      </c>
      <c r="B24" s="67" t="s">
        <v>66</v>
      </c>
      <c r="C24" s="5" t="s">
        <v>130</v>
      </c>
      <c r="D24" s="67" t="s">
        <v>65</v>
      </c>
      <c r="E24" s="1" t="s">
        <v>17</v>
      </c>
      <c r="F24" s="73">
        <v>5</v>
      </c>
      <c r="G24" s="6">
        <v>282</v>
      </c>
      <c r="H24" s="45">
        <v>5</v>
      </c>
      <c r="I24" s="6">
        <f t="shared" si="2"/>
        <v>1410</v>
      </c>
      <c r="J24" s="6">
        <f t="shared" si="0"/>
        <v>211.5</v>
      </c>
      <c r="K24" s="79">
        <f t="shared" si="1"/>
        <v>1621.5</v>
      </c>
      <c r="L24" s="17" t="s">
        <v>25</v>
      </c>
      <c r="N24" s="26"/>
      <c r="O24" s="26"/>
      <c r="P24" s="10"/>
    </row>
    <row r="25" spans="1:20" x14ac:dyDescent="0.3">
      <c r="A25" s="2">
        <v>45965</v>
      </c>
      <c r="B25" s="5">
        <v>1052</v>
      </c>
      <c r="C25" s="5" t="s">
        <v>130</v>
      </c>
      <c r="D25" s="5" t="s">
        <v>79</v>
      </c>
      <c r="E25" s="1" t="s">
        <v>18</v>
      </c>
      <c r="F25" s="6">
        <v>524</v>
      </c>
      <c r="G25" s="6">
        <v>325</v>
      </c>
      <c r="H25" s="41">
        <v>524</v>
      </c>
      <c r="I25" s="6">
        <f t="shared" si="2"/>
        <v>170300</v>
      </c>
      <c r="J25" s="6">
        <f t="shared" si="0"/>
        <v>25545</v>
      </c>
      <c r="K25" s="27">
        <f t="shared" si="1"/>
        <v>195845</v>
      </c>
      <c r="L25" s="91" t="s">
        <v>103</v>
      </c>
      <c r="M25" s="95"/>
      <c r="N25" s="22"/>
      <c r="O25" s="22"/>
      <c r="P25" s="95"/>
      <c r="Q25" s="16"/>
      <c r="R25" s="16"/>
      <c r="S25" s="16"/>
      <c r="T25" s="16"/>
    </row>
    <row r="26" spans="1:20" x14ac:dyDescent="0.3">
      <c r="A26" s="2">
        <v>45966</v>
      </c>
      <c r="B26" s="5">
        <v>1053</v>
      </c>
      <c r="C26" s="5" t="s">
        <v>130</v>
      </c>
      <c r="D26" s="5" t="s">
        <v>49</v>
      </c>
      <c r="E26" s="1" t="s">
        <v>17</v>
      </c>
      <c r="F26" s="73">
        <v>1</v>
      </c>
      <c r="G26" s="6">
        <v>284</v>
      </c>
      <c r="H26" s="45">
        <v>1</v>
      </c>
      <c r="I26" s="6">
        <f t="shared" si="2"/>
        <v>284</v>
      </c>
      <c r="J26" s="6">
        <f t="shared" si="0"/>
        <v>42.6</v>
      </c>
      <c r="K26" s="13">
        <f t="shared" si="1"/>
        <v>326.60000000000002</v>
      </c>
      <c r="L26" s="17" t="s">
        <v>25</v>
      </c>
      <c r="M26" s="10"/>
      <c r="N26" s="26"/>
      <c r="O26" s="26"/>
      <c r="P26" s="10"/>
    </row>
    <row r="27" spans="1:20" x14ac:dyDescent="0.3">
      <c r="A27" s="2">
        <v>45966</v>
      </c>
      <c r="B27" s="5">
        <v>1054</v>
      </c>
      <c r="C27" s="5" t="s">
        <v>130</v>
      </c>
      <c r="D27" s="1" t="s">
        <v>33</v>
      </c>
      <c r="E27" s="5" t="s">
        <v>17</v>
      </c>
      <c r="F27" s="73">
        <v>12</v>
      </c>
      <c r="G27" s="6">
        <v>282</v>
      </c>
      <c r="H27" s="45">
        <v>12</v>
      </c>
      <c r="I27" s="6">
        <f t="shared" si="2"/>
        <v>3384</v>
      </c>
      <c r="J27" s="6">
        <f t="shared" si="0"/>
        <v>507.59999999999997</v>
      </c>
      <c r="K27" s="13">
        <f t="shared" si="1"/>
        <v>3891.6</v>
      </c>
      <c r="L27" s="91" t="s">
        <v>25</v>
      </c>
      <c r="M27" s="95"/>
      <c r="N27" s="26"/>
      <c r="O27" s="26"/>
      <c r="P27" s="10"/>
    </row>
    <row r="28" spans="1:20" x14ac:dyDescent="0.3">
      <c r="A28" s="2">
        <v>45966</v>
      </c>
      <c r="B28" s="5">
        <v>1055</v>
      </c>
      <c r="C28" s="5" t="s">
        <v>130</v>
      </c>
      <c r="D28" s="5" t="s">
        <v>80</v>
      </c>
      <c r="E28" s="5" t="s">
        <v>20</v>
      </c>
      <c r="F28" s="6">
        <v>80</v>
      </c>
      <c r="G28" s="6">
        <v>46</v>
      </c>
      <c r="H28" s="41">
        <v>1150.31</v>
      </c>
      <c r="I28" s="6">
        <f t="shared" si="2"/>
        <v>52914.259999999995</v>
      </c>
      <c r="J28" s="6">
        <f t="shared" si="0"/>
        <v>7937.1389999999992</v>
      </c>
      <c r="K28" s="27">
        <f t="shared" si="1"/>
        <v>60851.39899999999</v>
      </c>
      <c r="L28" s="91" t="s">
        <v>25</v>
      </c>
      <c r="M28" s="10"/>
      <c r="N28" s="26"/>
      <c r="O28" s="26"/>
      <c r="P28" s="10"/>
    </row>
    <row r="29" spans="1:20" x14ac:dyDescent="0.3">
      <c r="A29" s="2">
        <v>45966</v>
      </c>
      <c r="B29" s="5">
        <v>1056</v>
      </c>
      <c r="C29" s="5" t="s">
        <v>130</v>
      </c>
      <c r="D29" s="1" t="s">
        <v>23</v>
      </c>
      <c r="E29" s="5" t="s">
        <v>11</v>
      </c>
      <c r="F29" s="6">
        <v>250</v>
      </c>
      <c r="G29" s="6">
        <v>172</v>
      </c>
      <c r="H29" s="45">
        <v>250</v>
      </c>
      <c r="I29" s="6">
        <f t="shared" si="2"/>
        <v>43000</v>
      </c>
      <c r="J29" s="6">
        <f t="shared" si="0"/>
        <v>6450</v>
      </c>
      <c r="K29" s="76">
        <f t="shared" si="1"/>
        <v>49450</v>
      </c>
      <c r="L29" s="72" t="s">
        <v>25</v>
      </c>
      <c r="N29" s="26"/>
      <c r="O29" s="26"/>
      <c r="P29" s="10"/>
    </row>
    <row r="30" spans="1:20" x14ac:dyDescent="0.3">
      <c r="A30" s="2">
        <v>45967</v>
      </c>
      <c r="B30" s="67" t="s">
        <v>66</v>
      </c>
      <c r="C30" s="5" t="s">
        <v>130</v>
      </c>
      <c r="D30" s="67" t="s">
        <v>65</v>
      </c>
      <c r="E30" s="5" t="s">
        <v>19</v>
      </c>
      <c r="F30" s="6">
        <v>1</v>
      </c>
      <c r="G30" s="6">
        <v>648</v>
      </c>
      <c r="H30" s="45">
        <v>1</v>
      </c>
      <c r="I30" s="6">
        <f t="shared" si="2"/>
        <v>648</v>
      </c>
      <c r="J30" s="6">
        <f t="shared" si="0"/>
        <v>97.2</v>
      </c>
      <c r="K30" s="79">
        <f t="shared" si="1"/>
        <v>745.2</v>
      </c>
      <c r="L30" s="17" t="s">
        <v>25</v>
      </c>
      <c r="N30" s="26"/>
      <c r="O30" s="26"/>
      <c r="P30" s="10"/>
    </row>
    <row r="31" spans="1:20" x14ac:dyDescent="0.3">
      <c r="A31" s="2">
        <v>45967</v>
      </c>
      <c r="B31" s="67" t="s">
        <v>66</v>
      </c>
      <c r="C31" s="5" t="s">
        <v>130</v>
      </c>
      <c r="D31" s="67" t="s">
        <v>65</v>
      </c>
      <c r="E31" s="5" t="s">
        <v>17</v>
      </c>
      <c r="F31" s="73">
        <v>10</v>
      </c>
      <c r="G31" s="6">
        <v>282</v>
      </c>
      <c r="H31" s="45">
        <v>10</v>
      </c>
      <c r="I31" s="6">
        <f t="shared" si="2"/>
        <v>2820</v>
      </c>
      <c r="J31" s="6">
        <f t="shared" si="0"/>
        <v>423</v>
      </c>
      <c r="K31" s="79">
        <f t="shared" si="1"/>
        <v>3243</v>
      </c>
      <c r="L31" s="17" t="s">
        <v>25</v>
      </c>
      <c r="N31" s="26"/>
      <c r="O31" s="26"/>
      <c r="P31" s="10"/>
    </row>
    <row r="32" spans="1:20" x14ac:dyDescent="0.3">
      <c r="A32" s="2">
        <v>45967</v>
      </c>
      <c r="B32" s="71">
        <v>1057</v>
      </c>
      <c r="C32" s="5" t="s">
        <v>130</v>
      </c>
      <c r="D32" s="5" t="s">
        <v>30</v>
      </c>
      <c r="E32" s="5" t="s">
        <v>11</v>
      </c>
      <c r="F32" s="6">
        <v>100</v>
      </c>
      <c r="G32" s="6">
        <v>166</v>
      </c>
      <c r="H32" s="45">
        <v>100</v>
      </c>
      <c r="I32" s="6">
        <f t="shared" si="2"/>
        <v>16600</v>
      </c>
      <c r="J32" s="6">
        <f t="shared" si="0"/>
        <v>2490</v>
      </c>
      <c r="K32" s="76">
        <f t="shared" si="1"/>
        <v>19090</v>
      </c>
      <c r="L32" s="17" t="s">
        <v>25</v>
      </c>
      <c r="M32" s="70"/>
      <c r="N32" s="26"/>
      <c r="O32" s="26"/>
      <c r="P32" s="10"/>
    </row>
    <row r="33" spans="1:16" x14ac:dyDescent="0.3">
      <c r="A33" s="2">
        <v>45967</v>
      </c>
      <c r="B33" s="71">
        <v>1057</v>
      </c>
      <c r="C33" s="5" t="s">
        <v>130</v>
      </c>
      <c r="D33" s="1" t="s">
        <v>30</v>
      </c>
      <c r="E33" s="5" t="s">
        <v>17</v>
      </c>
      <c r="F33" s="73">
        <v>20</v>
      </c>
      <c r="G33" s="6">
        <v>281</v>
      </c>
      <c r="H33" s="45">
        <v>20</v>
      </c>
      <c r="I33" s="6">
        <f t="shared" si="2"/>
        <v>5620</v>
      </c>
      <c r="J33" s="6">
        <f t="shared" si="0"/>
        <v>843</v>
      </c>
      <c r="K33" s="76">
        <f t="shared" si="1"/>
        <v>6463</v>
      </c>
      <c r="L33" s="17" t="s">
        <v>25</v>
      </c>
      <c r="M33" s="70"/>
      <c r="N33" s="26"/>
      <c r="O33" s="26"/>
      <c r="P33" s="10"/>
    </row>
    <row r="34" spans="1:16" x14ac:dyDescent="0.3">
      <c r="A34" s="2">
        <v>45967</v>
      </c>
      <c r="B34" s="5">
        <v>1058</v>
      </c>
      <c r="C34" s="5" t="s">
        <v>130</v>
      </c>
      <c r="D34" s="5" t="s">
        <v>81</v>
      </c>
      <c r="E34" s="5" t="s">
        <v>17</v>
      </c>
      <c r="F34" s="73">
        <v>25</v>
      </c>
      <c r="G34" s="6">
        <v>281</v>
      </c>
      <c r="H34" s="6">
        <v>25</v>
      </c>
      <c r="I34" s="6">
        <f t="shared" si="2"/>
        <v>7025</v>
      </c>
      <c r="J34" s="6">
        <f t="shared" si="0"/>
        <v>1053.75</v>
      </c>
      <c r="K34" s="79">
        <f t="shared" si="1"/>
        <v>8078.75</v>
      </c>
      <c r="L34" s="17" t="s">
        <v>25</v>
      </c>
      <c r="N34" s="26"/>
      <c r="O34" s="26"/>
      <c r="P34" s="10"/>
    </row>
    <row r="35" spans="1:16" x14ac:dyDescent="0.3">
      <c r="A35" s="2">
        <v>45967</v>
      </c>
      <c r="B35" s="5">
        <v>1059</v>
      </c>
      <c r="C35" s="5" t="s">
        <v>130</v>
      </c>
      <c r="D35" s="5" t="s">
        <v>82</v>
      </c>
      <c r="E35" s="5" t="s">
        <v>17</v>
      </c>
      <c r="F35" s="73">
        <v>25</v>
      </c>
      <c r="G35" s="6">
        <v>281.5</v>
      </c>
      <c r="H35" s="6">
        <v>25</v>
      </c>
      <c r="I35" s="6">
        <f t="shared" si="2"/>
        <v>7037.5</v>
      </c>
      <c r="J35" s="6">
        <f t="shared" si="0"/>
        <v>1055.625</v>
      </c>
      <c r="K35" s="76">
        <f t="shared" si="1"/>
        <v>8093.125</v>
      </c>
      <c r="L35" s="68" t="s">
        <v>25</v>
      </c>
      <c r="M35" s="69"/>
      <c r="N35" s="26"/>
      <c r="O35" s="26"/>
      <c r="P35" s="10"/>
    </row>
    <row r="36" spans="1:16" x14ac:dyDescent="0.3">
      <c r="A36" s="2">
        <v>45967</v>
      </c>
      <c r="B36" s="5">
        <v>1060</v>
      </c>
      <c r="C36" s="5" t="s">
        <v>130</v>
      </c>
      <c r="D36" s="1" t="s">
        <v>82</v>
      </c>
      <c r="E36" s="5" t="s">
        <v>11</v>
      </c>
      <c r="F36" s="6">
        <v>75</v>
      </c>
      <c r="G36" s="6">
        <v>165</v>
      </c>
      <c r="H36" s="6">
        <v>75</v>
      </c>
      <c r="I36" s="6">
        <f t="shared" si="2"/>
        <v>12375</v>
      </c>
      <c r="J36" s="6">
        <f t="shared" si="0"/>
        <v>1856.25</v>
      </c>
      <c r="K36" s="76">
        <f t="shared" si="1"/>
        <v>14231.25</v>
      </c>
      <c r="L36" s="68" t="s">
        <v>25</v>
      </c>
      <c r="M36" s="69"/>
      <c r="N36" s="26"/>
      <c r="O36" s="26"/>
      <c r="P36" s="10"/>
    </row>
    <row r="37" spans="1:16" x14ac:dyDescent="0.3">
      <c r="A37" s="2">
        <v>45969</v>
      </c>
      <c r="B37" s="5">
        <v>1061</v>
      </c>
      <c r="C37" s="5" t="s">
        <v>130</v>
      </c>
      <c r="D37" s="5" t="s">
        <v>82</v>
      </c>
      <c r="E37" s="5" t="s">
        <v>46</v>
      </c>
      <c r="F37" s="6">
        <v>1</v>
      </c>
      <c r="G37" s="6">
        <v>24.8</v>
      </c>
      <c r="H37" s="6">
        <v>21.01</v>
      </c>
      <c r="I37" s="6">
        <f t="shared" si="2"/>
        <v>521.048</v>
      </c>
      <c r="J37" s="6">
        <f t="shared" si="0"/>
        <v>78.157200000000003</v>
      </c>
      <c r="K37" s="76">
        <f t="shared" si="1"/>
        <v>599.20519999999999</v>
      </c>
      <c r="L37" s="17" t="s">
        <v>25</v>
      </c>
      <c r="M37" s="77"/>
      <c r="N37" s="26"/>
      <c r="O37" s="26"/>
      <c r="P37" s="10"/>
    </row>
    <row r="38" spans="1:16" x14ac:dyDescent="0.3">
      <c r="A38" s="2">
        <v>45970</v>
      </c>
      <c r="B38" s="5">
        <v>1063</v>
      </c>
      <c r="C38" s="5" t="s">
        <v>130</v>
      </c>
      <c r="D38" s="1" t="s">
        <v>76</v>
      </c>
      <c r="E38" s="5" t="s">
        <v>46</v>
      </c>
      <c r="F38" s="6">
        <v>2</v>
      </c>
      <c r="G38" s="6">
        <v>24.5</v>
      </c>
      <c r="H38" s="6">
        <v>44.8</v>
      </c>
      <c r="I38" s="6">
        <f t="shared" si="2"/>
        <v>1097.5999999999999</v>
      </c>
      <c r="J38" s="6">
        <f t="shared" si="0"/>
        <v>164.64</v>
      </c>
      <c r="K38" s="76">
        <f t="shared" si="1"/>
        <v>1262.2399999999998</v>
      </c>
      <c r="L38" s="17" t="s">
        <v>25</v>
      </c>
      <c r="M38" s="100"/>
      <c r="N38" s="26"/>
      <c r="O38" s="26"/>
      <c r="P38" s="10"/>
    </row>
    <row r="39" spans="1:16" x14ac:dyDescent="0.3">
      <c r="A39" s="2">
        <v>45970</v>
      </c>
      <c r="B39" s="5">
        <v>1063</v>
      </c>
      <c r="C39" s="5" t="s">
        <v>130</v>
      </c>
      <c r="D39" s="1" t="s">
        <v>76</v>
      </c>
      <c r="E39" s="1" t="s">
        <v>73</v>
      </c>
      <c r="F39" s="6">
        <v>5</v>
      </c>
      <c r="G39" s="6">
        <v>280</v>
      </c>
      <c r="H39" s="6">
        <v>5</v>
      </c>
      <c r="I39" s="6">
        <f t="shared" si="2"/>
        <v>1400</v>
      </c>
      <c r="J39" s="6">
        <f t="shared" si="0"/>
        <v>210</v>
      </c>
      <c r="K39" s="76">
        <f t="shared" si="1"/>
        <v>1610</v>
      </c>
      <c r="L39" s="17" t="s">
        <v>25</v>
      </c>
      <c r="M39" s="100"/>
      <c r="N39" s="26"/>
      <c r="O39" s="26"/>
      <c r="P39" s="10"/>
    </row>
    <row r="40" spans="1:16" x14ac:dyDescent="0.3">
      <c r="A40" s="2">
        <v>45970</v>
      </c>
      <c r="B40" s="5" t="s">
        <v>66</v>
      </c>
      <c r="C40" s="5" t="s">
        <v>130</v>
      </c>
      <c r="D40" s="67" t="s">
        <v>65</v>
      </c>
      <c r="E40" s="5" t="s">
        <v>17</v>
      </c>
      <c r="F40" s="73">
        <v>5</v>
      </c>
      <c r="G40" s="6">
        <v>282</v>
      </c>
      <c r="H40" s="6">
        <v>5</v>
      </c>
      <c r="I40" s="6">
        <f t="shared" si="2"/>
        <v>1410</v>
      </c>
      <c r="J40" s="6">
        <f t="shared" si="0"/>
        <v>211.5</v>
      </c>
      <c r="K40" s="76">
        <f t="shared" si="1"/>
        <v>1621.5</v>
      </c>
      <c r="L40" s="17" t="s">
        <v>25</v>
      </c>
      <c r="M40" s="100"/>
      <c r="N40" s="26"/>
      <c r="O40" s="26"/>
      <c r="P40" s="10"/>
    </row>
    <row r="41" spans="1:16" x14ac:dyDescent="0.3">
      <c r="A41" s="2">
        <v>45971</v>
      </c>
      <c r="B41" s="5">
        <v>1064</v>
      </c>
      <c r="C41" s="5" t="s">
        <v>130</v>
      </c>
      <c r="D41" s="1" t="s">
        <v>23</v>
      </c>
      <c r="E41" s="5" t="s">
        <v>11</v>
      </c>
      <c r="F41" s="6">
        <v>250</v>
      </c>
      <c r="G41" s="6">
        <v>172</v>
      </c>
      <c r="H41" s="6">
        <v>250</v>
      </c>
      <c r="I41" s="6">
        <f t="shared" si="2"/>
        <v>43000</v>
      </c>
      <c r="J41" s="6">
        <f t="shared" si="0"/>
        <v>6450</v>
      </c>
      <c r="K41" s="98">
        <f t="shared" si="1"/>
        <v>49450</v>
      </c>
      <c r="L41" s="99" t="s">
        <v>25</v>
      </c>
      <c r="M41" s="100"/>
      <c r="N41" s="26"/>
      <c r="O41" s="26"/>
      <c r="P41" s="10"/>
    </row>
    <row r="42" spans="1:16" x14ac:dyDescent="0.3">
      <c r="A42" s="2">
        <v>45972</v>
      </c>
      <c r="B42" s="5">
        <v>1065</v>
      </c>
      <c r="C42" s="5" t="s">
        <v>130</v>
      </c>
      <c r="D42" s="1" t="s">
        <v>83</v>
      </c>
      <c r="E42" s="5" t="s">
        <v>17</v>
      </c>
      <c r="F42" s="73">
        <v>900</v>
      </c>
      <c r="G42" s="6">
        <v>280</v>
      </c>
      <c r="H42" s="6">
        <v>900</v>
      </c>
      <c r="I42" s="6">
        <f t="shared" si="2"/>
        <v>252000</v>
      </c>
      <c r="J42" s="6">
        <f t="shared" si="0"/>
        <v>37800</v>
      </c>
      <c r="K42" s="76">
        <f t="shared" si="1"/>
        <v>289800</v>
      </c>
      <c r="L42" s="17" t="s">
        <v>25</v>
      </c>
      <c r="M42" s="10"/>
      <c r="N42" s="26"/>
      <c r="O42" s="26"/>
      <c r="P42" s="10"/>
    </row>
    <row r="43" spans="1:16" x14ac:dyDescent="0.3">
      <c r="A43" s="2">
        <v>45972</v>
      </c>
      <c r="B43" s="5">
        <v>1066</v>
      </c>
      <c r="C43" s="5" t="s">
        <v>130</v>
      </c>
      <c r="D43" s="1" t="s">
        <v>84</v>
      </c>
      <c r="E43" s="5" t="s">
        <v>19</v>
      </c>
      <c r="F43" s="6">
        <v>22</v>
      </c>
      <c r="G43" s="6">
        <v>657</v>
      </c>
      <c r="H43" s="6">
        <v>22</v>
      </c>
      <c r="I43" s="6">
        <f t="shared" si="2"/>
        <v>14454</v>
      </c>
      <c r="J43" s="6">
        <f t="shared" si="0"/>
        <v>2168.1</v>
      </c>
      <c r="K43" s="13">
        <f t="shared" si="1"/>
        <v>16622.099999999999</v>
      </c>
      <c r="L43" s="17" t="s">
        <v>104</v>
      </c>
      <c r="N43" s="26"/>
      <c r="O43" s="26"/>
      <c r="P43" s="10" t="s">
        <v>114</v>
      </c>
    </row>
    <row r="44" spans="1:16" x14ac:dyDescent="0.3">
      <c r="A44" s="2">
        <v>45972</v>
      </c>
      <c r="B44" s="5">
        <v>1067</v>
      </c>
      <c r="C44" s="5" t="s">
        <v>131</v>
      </c>
      <c r="D44" s="5" t="s">
        <v>85</v>
      </c>
      <c r="E44" s="5" t="s">
        <v>46</v>
      </c>
      <c r="F44" s="6">
        <v>50</v>
      </c>
      <c r="G44" s="6">
        <v>24.5</v>
      </c>
      <c r="H44" s="6">
        <v>1102.04</v>
      </c>
      <c r="I44" s="6">
        <f t="shared" si="2"/>
        <v>26999.98</v>
      </c>
      <c r="J44" s="6">
        <f t="shared" si="0"/>
        <v>4049.9969999999998</v>
      </c>
      <c r="K44" s="27">
        <f t="shared" si="1"/>
        <v>31049.976999999999</v>
      </c>
      <c r="L44" s="91" t="s">
        <v>25</v>
      </c>
      <c r="M44" s="10"/>
      <c r="N44" s="26"/>
      <c r="O44" s="26"/>
      <c r="P44" s="10"/>
    </row>
    <row r="45" spans="1:16" x14ac:dyDescent="0.3">
      <c r="A45" s="2">
        <v>45972</v>
      </c>
      <c r="B45" s="5">
        <v>1068</v>
      </c>
      <c r="C45" s="5" t="s">
        <v>131</v>
      </c>
      <c r="D45" s="5" t="s">
        <v>86</v>
      </c>
      <c r="E45" s="5" t="s">
        <v>46</v>
      </c>
      <c r="F45" s="6">
        <v>14</v>
      </c>
      <c r="G45" s="6">
        <v>24.5</v>
      </c>
      <c r="H45" s="6">
        <v>326.36</v>
      </c>
      <c r="I45" s="6">
        <f t="shared" si="2"/>
        <v>7995.8200000000006</v>
      </c>
      <c r="J45" s="6">
        <f t="shared" si="0"/>
        <v>1199.373</v>
      </c>
      <c r="K45" s="27">
        <f t="shared" si="1"/>
        <v>9195.1930000000011</v>
      </c>
      <c r="L45" s="91" t="s">
        <v>25</v>
      </c>
      <c r="N45" s="26"/>
      <c r="O45" s="26"/>
      <c r="P45" s="10"/>
    </row>
    <row r="46" spans="1:16" x14ac:dyDescent="0.3">
      <c r="A46" s="2">
        <v>45972</v>
      </c>
      <c r="B46" s="5">
        <v>1068</v>
      </c>
      <c r="C46" s="5" t="s">
        <v>131</v>
      </c>
      <c r="D46" s="5" t="s">
        <v>86</v>
      </c>
      <c r="E46" s="1" t="s">
        <v>43</v>
      </c>
      <c r="F46" s="6">
        <v>60</v>
      </c>
      <c r="G46" s="6">
        <v>165</v>
      </c>
      <c r="H46" s="6">
        <v>60</v>
      </c>
      <c r="I46" s="6">
        <f t="shared" si="2"/>
        <v>9900</v>
      </c>
      <c r="J46" s="6">
        <f t="shared" si="0"/>
        <v>1485</v>
      </c>
      <c r="K46" s="27">
        <f t="shared" si="1"/>
        <v>11385</v>
      </c>
      <c r="L46" s="91" t="s">
        <v>25</v>
      </c>
      <c r="M46" s="94"/>
      <c r="N46" s="26"/>
      <c r="O46" s="26"/>
      <c r="P46" s="10"/>
    </row>
    <row r="47" spans="1:16" x14ac:dyDescent="0.3">
      <c r="A47" s="85">
        <v>45973</v>
      </c>
      <c r="B47" s="86">
        <v>1069</v>
      </c>
      <c r="C47" s="5" t="s">
        <v>130</v>
      </c>
      <c r="D47" s="87" t="s">
        <v>23</v>
      </c>
      <c r="E47" s="86" t="s">
        <v>11</v>
      </c>
      <c r="F47" s="88">
        <v>2400</v>
      </c>
      <c r="G47" s="88">
        <v>170</v>
      </c>
      <c r="H47" s="89">
        <v>2400</v>
      </c>
      <c r="I47" s="88">
        <f t="shared" si="2"/>
        <v>408000</v>
      </c>
      <c r="J47" s="88">
        <f t="shared" si="0"/>
        <v>61200</v>
      </c>
      <c r="K47" s="59">
        <f t="shared" si="1"/>
        <v>469200</v>
      </c>
      <c r="L47" s="60" t="s">
        <v>25</v>
      </c>
      <c r="N47" s="26"/>
      <c r="O47" s="26"/>
      <c r="P47" s="10"/>
    </row>
    <row r="48" spans="1:16" x14ac:dyDescent="0.3">
      <c r="A48" s="2">
        <v>45974</v>
      </c>
      <c r="B48" s="5">
        <v>1070</v>
      </c>
      <c r="C48" s="5" t="s">
        <v>130</v>
      </c>
      <c r="D48" s="1" t="s">
        <v>30</v>
      </c>
      <c r="E48" s="5" t="s">
        <v>11</v>
      </c>
      <c r="F48" s="6">
        <v>50</v>
      </c>
      <c r="G48" s="6">
        <v>166</v>
      </c>
      <c r="H48" s="45">
        <v>50</v>
      </c>
      <c r="I48" s="6">
        <f t="shared" si="2"/>
        <v>8300</v>
      </c>
      <c r="J48" s="6">
        <f t="shared" si="0"/>
        <v>1245</v>
      </c>
      <c r="K48" s="27">
        <f t="shared" si="1"/>
        <v>9545</v>
      </c>
      <c r="L48" s="91" t="s">
        <v>25</v>
      </c>
      <c r="M48" s="16"/>
      <c r="N48" s="26"/>
      <c r="O48" s="26"/>
      <c r="P48" s="10"/>
    </row>
    <row r="49" spans="1:16" x14ac:dyDescent="0.3">
      <c r="A49" s="2">
        <v>45974</v>
      </c>
      <c r="B49" s="5">
        <v>1070</v>
      </c>
      <c r="C49" s="5" t="s">
        <v>130</v>
      </c>
      <c r="D49" s="1" t="s">
        <v>30</v>
      </c>
      <c r="E49" s="5" t="s">
        <v>17</v>
      </c>
      <c r="F49" s="6">
        <v>30</v>
      </c>
      <c r="G49" s="6">
        <v>281</v>
      </c>
      <c r="H49" s="45">
        <v>30</v>
      </c>
      <c r="I49" s="6">
        <f t="shared" si="2"/>
        <v>8430</v>
      </c>
      <c r="J49" s="6">
        <f t="shared" si="0"/>
        <v>1264.5</v>
      </c>
      <c r="K49" s="27">
        <f t="shared" si="1"/>
        <v>9694.5</v>
      </c>
      <c r="L49" s="91" t="s">
        <v>25</v>
      </c>
      <c r="M49" s="16"/>
      <c r="N49" s="26"/>
      <c r="O49" s="26"/>
      <c r="P49" s="10"/>
    </row>
    <row r="50" spans="1:16" x14ac:dyDescent="0.3">
      <c r="A50" s="2">
        <v>45974</v>
      </c>
      <c r="B50" s="5">
        <v>1071</v>
      </c>
      <c r="C50" s="5" t="s">
        <v>130</v>
      </c>
      <c r="D50" s="5" t="s">
        <v>87</v>
      </c>
      <c r="E50" s="5" t="s">
        <v>17</v>
      </c>
      <c r="F50" s="6">
        <v>15</v>
      </c>
      <c r="G50" s="6">
        <v>281</v>
      </c>
      <c r="H50" s="45">
        <v>15</v>
      </c>
      <c r="I50" s="6">
        <f t="shared" si="2"/>
        <v>4215</v>
      </c>
      <c r="J50" s="6">
        <f t="shared" si="0"/>
        <v>632.25</v>
      </c>
      <c r="K50" s="27">
        <f t="shared" si="1"/>
        <v>4847.25</v>
      </c>
      <c r="L50" s="91" t="s">
        <v>25</v>
      </c>
      <c r="M50" s="16"/>
      <c r="N50" s="26"/>
      <c r="O50" s="26"/>
      <c r="P50" s="10"/>
    </row>
    <row r="51" spans="1:16" x14ac:dyDescent="0.3">
      <c r="A51" s="2">
        <v>45976</v>
      </c>
      <c r="B51" s="71">
        <v>1072</v>
      </c>
      <c r="C51" s="5" t="s">
        <v>130</v>
      </c>
      <c r="D51" s="5" t="s">
        <v>88</v>
      </c>
      <c r="E51" s="5" t="s">
        <v>11</v>
      </c>
      <c r="F51" s="6">
        <v>50</v>
      </c>
      <c r="G51" s="6">
        <v>167</v>
      </c>
      <c r="H51" s="45">
        <v>50</v>
      </c>
      <c r="I51" s="6">
        <f t="shared" si="2"/>
        <v>8350</v>
      </c>
      <c r="J51" s="6">
        <f t="shared" si="0"/>
        <v>1252.5</v>
      </c>
      <c r="K51" s="96">
        <f t="shared" si="1"/>
        <v>9602.5</v>
      </c>
      <c r="L51" s="97" t="s">
        <v>25</v>
      </c>
      <c r="M51" s="105"/>
      <c r="N51" s="26"/>
      <c r="O51" s="26"/>
      <c r="P51" s="10"/>
    </row>
    <row r="52" spans="1:16" x14ac:dyDescent="0.3">
      <c r="A52" s="2">
        <v>45977</v>
      </c>
      <c r="B52" s="5">
        <v>1073</v>
      </c>
      <c r="C52" s="5" t="s">
        <v>130</v>
      </c>
      <c r="D52" s="5" t="s">
        <v>89</v>
      </c>
      <c r="E52" s="5" t="s">
        <v>17</v>
      </c>
      <c r="F52" s="6">
        <v>5</v>
      </c>
      <c r="G52" s="6">
        <v>284</v>
      </c>
      <c r="H52" s="45">
        <v>5</v>
      </c>
      <c r="I52" s="6">
        <f t="shared" si="2"/>
        <v>1420</v>
      </c>
      <c r="J52" s="6">
        <f t="shared" si="0"/>
        <v>213</v>
      </c>
      <c r="K52" s="27">
        <f t="shared" si="1"/>
        <v>1633</v>
      </c>
      <c r="L52" s="17" t="s">
        <v>25</v>
      </c>
      <c r="M52" s="16"/>
      <c r="N52" s="26"/>
      <c r="O52" s="26"/>
      <c r="P52" s="10"/>
    </row>
    <row r="53" spans="1:16" x14ac:dyDescent="0.3">
      <c r="A53" s="2">
        <v>45977</v>
      </c>
      <c r="B53" s="5">
        <v>1074</v>
      </c>
      <c r="C53" s="5" t="s">
        <v>130</v>
      </c>
      <c r="D53" s="1" t="s">
        <v>76</v>
      </c>
      <c r="E53" s="1" t="s">
        <v>73</v>
      </c>
      <c r="F53" s="6">
        <v>5</v>
      </c>
      <c r="G53" s="6">
        <v>280</v>
      </c>
      <c r="H53" s="6">
        <v>5</v>
      </c>
      <c r="I53" s="6">
        <f t="shared" si="2"/>
        <v>1400</v>
      </c>
      <c r="J53" s="6">
        <f t="shared" si="0"/>
        <v>210</v>
      </c>
      <c r="K53" s="27">
        <f t="shared" si="1"/>
        <v>1610</v>
      </c>
      <c r="L53" s="17" t="s">
        <v>25</v>
      </c>
      <c r="M53" s="16"/>
      <c r="N53" s="26"/>
      <c r="O53" s="26"/>
      <c r="P53" s="10"/>
    </row>
    <row r="54" spans="1:16" x14ac:dyDescent="0.3">
      <c r="A54" s="2">
        <v>45977</v>
      </c>
      <c r="B54" s="5">
        <v>1074</v>
      </c>
      <c r="C54" s="5" t="s">
        <v>130</v>
      </c>
      <c r="D54" s="1" t="s">
        <v>76</v>
      </c>
      <c r="E54" s="1" t="s">
        <v>95</v>
      </c>
      <c r="F54" s="6">
        <v>5</v>
      </c>
      <c r="G54" s="6">
        <v>425</v>
      </c>
      <c r="H54" s="6">
        <v>5</v>
      </c>
      <c r="I54" s="6">
        <f t="shared" si="2"/>
        <v>2125</v>
      </c>
      <c r="J54" s="6">
        <f t="shared" si="0"/>
        <v>318.75</v>
      </c>
      <c r="K54" s="27">
        <f t="shared" si="1"/>
        <v>2443.75</v>
      </c>
      <c r="L54" s="17" t="s">
        <v>25</v>
      </c>
      <c r="M54" s="16"/>
      <c r="N54" s="26"/>
      <c r="O54" s="26"/>
      <c r="P54" s="10"/>
    </row>
    <row r="55" spans="1:16" x14ac:dyDescent="0.3">
      <c r="A55" s="2">
        <v>45977</v>
      </c>
      <c r="B55" s="5">
        <v>1074</v>
      </c>
      <c r="C55" s="5" t="s">
        <v>130</v>
      </c>
      <c r="D55" s="1" t="s">
        <v>76</v>
      </c>
      <c r="E55" s="1" t="s">
        <v>46</v>
      </c>
      <c r="F55" s="6">
        <v>3</v>
      </c>
      <c r="G55" s="6">
        <v>24.5</v>
      </c>
      <c r="H55" s="6">
        <v>64.290000000000006</v>
      </c>
      <c r="I55" s="6">
        <f t="shared" si="2"/>
        <v>1575.1050000000002</v>
      </c>
      <c r="J55" s="6">
        <f t="shared" si="0"/>
        <v>236.26575000000003</v>
      </c>
      <c r="K55" s="27">
        <f t="shared" si="1"/>
        <v>1811.3707500000003</v>
      </c>
      <c r="L55" s="17" t="s">
        <v>25</v>
      </c>
      <c r="M55" s="16"/>
      <c r="N55" s="26"/>
      <c r="O55" s="26"/>
      <c r="P55" s="10"/>
    </row>
    <row r="56" spans="1:16" x14ac:dyDescent="0.3">
      <c r="A56" s="2">
        <v>45977</v>
      </c>
      <c r="B56" s="5">
        <v>1074</v>
      </c>
      <c r="C56" s="5" t="s">
        <v>130</v>
      </c>
      <c r="D56" s="1" t="s">
        <v>76</v>
      </c>
      <c r="E56" s="5" t="s">
        <v>43</v>
      </c>
      <c r="F56" s="6">
        <v>10</v>
      </c>
      <c r="G56" s="6">
        <v>165</v>
      </c>
      <c r="H56" s="6">
        <v>10</v>
      </c>
      <c r="I56" s="6">
        <f t="shared" si="2"/>
        <v>1650</v>
      </c>
      <c r="J56" s="6">
        <f t="shared" si="0"/>
        <v>247.5</v>
      </c>
      <c r="K56" s="27">
        <f t="shared" si="1"/>
        <v>1897.5</v>
      </c>
      <c r="L56" s="17" t="s">
        <v>25</v>
      </c>
      <c r="M56" s="16"/>
      <c r="N56" s="26"/>
      <c r="O56" s="26"/>
      <c r="P56" s="10"/>
    </row>
    <row r="57" spans="1:16" x14ac:dyDescent="0.3">
      <c r="A57" s="2">
        <v>45977</v>
      </c>
      <c r="B57" s="5">
        <v>1074</v>
      </c>
      <c r="C57" s="5" t="s">
        <v>130</v>
      </c>
      <c r="D57" s="5" t="s">
        <v>76</v>
      </c>
      <c r="E57" s="5" t="s">
        <v>11</v>
      </c>
      <c r="F57" s="6">
        <v>10</v>
      </c>
      <c r="G57" s="6">
        <v>165</v>
      </c>
      <c r="H57" s="6">
        <v>10</v>
      </c>
      <c r="I57" s="6">
        <f t="shared" si="2"/>
        <v>1650</v>
      </c>
      <c r="J57" s="6">
        <f t="shared" si="0"/>
        <v>247.5</v>
      </c>
      <c r="K57" s="27">
        <f t="shared" si="1"/>
        <v>1897.5</v>
      </c>
      <c r="L57" s="17" t="s">
        <v>25</v>
      </c>
      <c r="M57" s="16"/>
      <c r="N57" s="26"/>
      <c r="O57" s="26"/>
      <c r="P57" s="10"/>
    </row>
    <row r="58" spans="1:16" x14ac:dyDescent="0.3">
      <c r="A58" s="2">
        <v>45977</v>
      </c>
      <c r="B58" s="5">
        <v>1075</v>
      </c>
      <c r="C58" s="5" t="s">
        <v>130</v>
      </c>
      <c r="D58" s="5" t="s">
        <v>82</v>
      </c>
      <c r="E58" s="5" t="s">
        <v>20</v>
      </c>
      <c r="F58" s="6">
        <v>2</v>
      </c>
      <c r="G58" s="6">
        <v>46</v>
      </c>
      <c r="H58" s="41">
        <v>28.79</v>
      </c>
      <c r="I58" s="6">
        <f t="shared" si="2"/>
        <v>1324.34</v>
      </c>
      <c r="J58" s="6">
        <f t="shared" si="0"/>
        <v>198.65099999999998</v>
      </c>
      <c r="K58" s="59">
        <f t="shared" si="1"/>
        <v>1522.991</v>
      </c>
      <c r="L58" s="60" t="s">
        <v>25</v>
      </c>
      <c r="M58" s="92"/>
      <c r="N58" s="26"/>
      <c r="O58" s="26"/>
      <c r="P58" s="10"/>
    </row>
    <row r="59" spans="1:16" x14ac:dyDescent="0.3">
      <c r="A59" s="2">
        <v>45977</v>
      </c>
      <c r="B59" s="5">
        <v>1076</v>
      </c>
      <c r="C59" s="5" t="s">
        <v>131</v>
      </c>
      <c r="D59" s="5" t="s">
        <v>85</v>
      </c>
      <c r="E59" s="5" t="s">
        <v>95</v>
      </c>
      <c r="F59" s="6">
        <v>50</v>
      </c>
      <c r="G59" s="6">
        <v>425</v>
      </c>
      <c r="H59" s="6">
        <v>50</v>
      </c>
      <c r="I59" s="6">
        <f t="shared" si="2"/>
        <v>21250</v>
      </c>
      <c r="J59" s="6">
        <f t="shared" si="0"/>
        <v>3187.5</v>
      </c>
      <c r="K59" s="59">
        <f t="shared" si="1"/>
        <v>24437.5</v>
      </c>
      <c r="L59" s="60" t="s">
        <v>25</v>
      </c>
      <c r="M59" s="92"/>
      <c r="N59" s="26"/>
      <c r="O59" s="26"/>
      <c r="P59" s="10"/>
    </row>
    <row r="60" spans="1:16" x14ac:dyDescent="0.3">
      <c r="A60" s="2">
        <v>45977</v>
      </c>
      <c r="B60" s="5">
        <v>1077</v>
      </c>
      <c r="C60" s="5" t="s">
        <v>131</v>
      </c>
      <c r="D60" s="5" t="s">
        <v>86</v>
      </c>
      <c r="E60" s="5" t="s">
        <v>95</v>
      </c>
      <c r="F60" s="6">
        <v>25</v>
      </c>
      <c r="G60" s="6">
        <v>425</v>
      </c>
      <c r="H60" s="6">
        <v>25</v>
      </c>
      <c r="I60" s="6">
        <f t="shared" si="2"/>
        <v>10625</v>
      </c>
      <c r="J60" s="6">
        <f t="shared" si="0"/>
        <v>1593.75</v>
      </c>
      <c r="K60" s="63">
        <f t="shared" si="1"/>
        <v>12218.75</v>
      </c>
      <c r="L60" s="63" t="s">
        <v>25</v>
      </c>
      <c r="M60" s="19"/>
      <c r="N60" s="26"/>
      <c r="O60" s="26"/>
      <c r="P60" s="10"/>
    </row>
    <row r="61" spans="1:16" x14ac:dyDescent="0.3">
      <c r="A61" s="2">
        <v>45977</v>
      </c>
      <c r="B61" s="5">
        <v>1078</v>
      </c>
      <c r="C61" s="5" t="s">
        <v>131</v>
      </c>
      <c r="D61" s="5" t="s">
        <v>96</v>
      </c>
      <c r="E61" s="5" t="s">
        <v>97</v>
      </c>
      <c r="F61" s="6">
        <v>10</v>
      </c>
      <c r="G61" s="6">
        <v>412</v>
      </c>
      <c r="H61" s="6">
        <v>10</v>
      </c>
      <c r="I61" s="6">
        <f t="shared" si="2"/>
        <v>4120</v>
      </c>
      <c r="J61" s="6">
        <f t="shared" si="0"/>
        <v>618</v>
      </c>
      <c r="K61" s="93">
        <f t="shared" si="1"/>
        <v>4738</v>
      </c>
      <c r="L61" s="103" t="s">
        <v>25</v>
      </c>
      <c r="M61" s="10"/>
      <c r="N61" s="26"/>
      <c r="O61" s="26"/>
      <c r="P61" s="10"/>
    </row>
    <row r="62" spans="1:16" x14ac:dyDescent="0.3">
      <c r="A62" s="2">
        <v>45977</v>
      </c>
      <c r="B62" s="5">
        <v>1078</v>
      </c>
      <c r="C62" s="5" t="s">
        <v>131</v>
      </c>
      <c r="D62" s="5" t="s">
        <v>96</v>
      </c>
      <c r="E62" s="5" t="s">
        <v>46</v>
      </c>
      <c r="F62" s="6">
        <v>10</v>
      </c>
      <c r="G62" s="6">
        <v>24.5</v>
      </c>
      <c r="H62" s="90">
        <v>221.12</v>
      </c>
      <c r="I62" s="6">
        <f t="shared" si="2"/>
        <v>5417.4400000000005</v>
      </c>
      <c r="J62" s="6">
        <f t="shared" si="0"/>
        <v>812.6160000000001</v>
      </c>
      <c r="K62" s="93">
        <f t="shared" si="1"/>
        <v>6230.0560000000005</v>
      </c>
      <c r="L62" s="103" t="s">
        <v>25</v>
      </c>
      <c r="N62" s="26"/>
      <c r="O62" s="26"/>
      <c r="P62" s="10"/>
    </row>
    <row r="63" spans="1:16" x14ac:dyDescent="0.3">
      <c r="A63" s="2">
        <v>45977</v>
      </c>
      <c r="B63" s="5">
        <v>1078</v>
      </c>
      <c r="C63" s="5" t="s">
        <v>131</v>
      </c>
      <c r="D63" s="5" t="s">
        <v>96</v>
      </c>
      <c r="E63" s="5" t="s">
        <v>95</v>
      </c>
      <c r="F63" s="6">
        <v>10</v>
      </c>
      <c r="G63" s="6">
        <v>425</v>
      </c>
      <c r="H63" s="6">
        <v>10</v>
      </c>
      <c r="I63" s="6">
        <f t="shared" si="2"/>
        <v>4250</v>
      </c>
      <c r="J63" s="6">
        <f t="shared" si="0"/>
        <v>637.5</v>
      </c>
      <c r="K63" s="93">
        <f t="shared" si="1"/>
        <v>4887.5</v>
      </c>
      <c r="L63" s="103" t="s">
        <v>25</v>
      </c>
      <c r="N63" s="26"/>
      <c r="O63" s="26"/>
      <c r="P63" s="10"/>
    </row>
    <row r="64" spans="1:16" x14ac:dyDescent="0.3">
      <c r="A64" s="2">
        <v>45977</v>
      </c>
      <c r="B64" s="5">
        <v>1078</v>
      </c>
      <c r="C64" s="5" t="s">
        <v>131</v>
      </c>
      <c r="D64" s="5" t="s">
        <v>96</v>
      </c>
      <c r="E64" s="5" t="s">
        <v>11</v>
      </c>
      <c r="F64" s="6">
        <v>30</v>
      </c>
      <c r="G64" s="6">
        <v>166</v>
      </c>
      <c r="H64" s="6">
        <v>30</v>
      </c>
      <c r="I64" s="6">
        <f t="shared" si="2"/>
        <v>4980</v>
      </c>
      <c r="J64" s="6">
        <f t="shared" si="0"/>
        <v>747</v>
      </c>
      <c r="K64" s="93">
        <f t="shared" si="1"/>
        <v>5727</v>
      </c>
      <c r="L64" s="103" t="s">
        <v>25</v>
      </c>
      <c r="N64" s="26"/>
      <c r="O64" s="26"/>
      <c r="P64" s="10"/>
    </row>
    <row r="65" spans="1:16" x14ac:dyDescent="0.3">
      <c r="A65" s="2">
        <v>45978</v>
      </c>
      <c r="B65" s="71">
        <v>1079</v>
      </c>
      <c r="C65" s="5" t="s">
        <v>130</v>
      </c>
      <c r="D65" s="5" t="s">
        <v>76</v>
      </c>
      <c r="E65" s="5" t="s">
        <v>19</v>
      </c>
      <c r="F65" s="6">
        <v>2</v>
      </c>
      <c r="G65" s="6">
        <v>657</v>
      </c>
      <c r="H65" s="6">
        <v>2</v>
      </c>
      <c r="I65" s="6">
        <f t="shared" si="2"/>
        <v>1314</v>
      </c>
      <c r="J65" s="6">
        <f t="shared" si="0"/>
        <v>197.1</v>
      </c>
      <c r="K65" s="96">
        <f t="shared" si="1"/>
        <v>1511.1</v>
      </c>
      <c r="L65" s="97" t="s">
        <v>25</v>
      </c>
      <c r="M65" s="105"/>
      <c r="N65" s="26"/>
      <c r="O65" s="26"/>
      <c r="P65" s="10"/>
    </row>
    <row r="66" spans="1:16" x14ac:dyDescent="0.3">
      <c r="A66" s="2">
        <v>45978</v>
      </c>
      <c r="B66" s="5">
        <v>1080</v>
      </c>
      <c r="C66" s="5" t="s">
        <v>130</v>
      </c>
      <c r="D66" s="5" t="s">
        <v>32</v>
      </c>
      <c r="E66" s="5" t="s">
        <v>98</v>
      </c>
      <c r="F66" s="6">
        <v>50</v>
      </c>
      <c r="G66" s="6">
        <v>413</v>
      </c>
      <c r="H66" s="6">
        <v>50</v>
      </c>
      <c r="I66" s="6">
        <f t="shared" si="2"/>
        <v>20650</v>
      </c>
      <c r="J66" s="6">
        <f t="shared" si="0"/>
        <v>3097.5</v>
      </c>
      <c r="K66" s="59">
        <f t="shared" si="1"/>
        <v>23747.5</v>
      </c>
      <c r="L66" s="60" t="s">
        <v>25</v>
      </c>
      <c r="M66" s="92"/>
      <c r="N66" s="26"/>
      <c r="O66" s="26"/>
      <c r="P66" s="10"/>
    </row>
    <row r="67" spans="1:16" x14ac:dyDescent="0.3">
      <c r="A67" s="47">
        <v>45979</v>
      </c>
      <c r="B67" s="48">
        <v>1081</v>
      </c>
      <c r="C67" s="5" t="s">
        <v>130</v>
      </c>
      <c r="D67" s="48" t="s">
        <v>84</v>
      </c>
      <c r="E67" s="48" t="s">
        <v>19</v>
      </c>
      <c r="F67" s="49">
        <v>-22</v>
      </c>
      <c r="G67" s="49">
        <v>657</v>
      </c>
      <c r="H67" s="49">
        <v>-22</v>
      </c>
      <c r="I67" s="49">
        <f t="shared" si="2"/>
        <v>-14454</v>
      </c>
      <c r="J67" s="49">
        <f t="shared" si="0"/>
        <v>-2168.1</v>
      </c>
      <c r="K67" s="51">
        <f t="shared" si="1"/>
        <v>-16622.099999999999</v>
      </c>
      <c r="L67" s="46" t="s">
        <v>100</v>
      </c>
      <c r="N67" s="26"/>
      <c r="O67" s="26"/>
      <c r="P67" s="10" t="s">
        <v>114</v>
      </c>
    </row>
    <row r="68" spans="1:16" x14ac:dyDescent="0.3">
      <c r="A68" s="2">
        <v>45979</v>
      </c>
      <c r="B68" s="5">
        <v>1082</v>
      </c>
      <c r="C68" s="5" t="s">
        <v>130</v>
      </c>
      <c r="D68" s="5" t="s">
        <v>99</v>
      </c>
      <c r="E68" s="5" t="s">
        <v>11</v>
      </c>
      <c r="F68" s="6">
        <v>500</v>
      </c>
      <c r="G68" s="6">
        <v>165</v>
      </c>
      <c r="H68" s="6">
        <v>500</v>
      </c>
      <c r="I68" s="6">
        <f t="shared" si="2"/>
        <v>82500</v>
      </c>
      <c r="J68" s="6">
        <f t="shared" si="0"/>
        <v>12375</v>
      </c>
      <c r="K68" s="96">
        <f t="shared" si="1"/>
        <v>94875</v>
      </c>
      <c r="L68" s="97" t="s">
        <v>103</v>
      </c>
      <c r="M68" s="105"/>
      <c r="N68" s="26"/>
      <c r="O68" s="26"/>
      <c r="P68" s="10"/>
    </row>
    <row r="69" spans="1:16" x14ac:dyDescent="0.3">
      <c r="A69" s="2">
        <v>45979</v>
      </c>
      <c r="B69" s="5">
        <v>1083</v>
      </c>
      <c r="C69" s="5" t="s">
        <v>130</v>
      </c>
      <c r="D69" s="5" t="s">
        <v>89</v>
      </c>
      <c r="E69" s="5" t="s">
        <v>19</v>
      </c>
      <c r="F69" s="6">
        <v>20</v>
      </c>
      <c r="G69" s="6">
        <v>657</v>
      </c>
      <c r="H69" s="6">
        <v>20</v>
      </c>
      <c r="I69" s="6">
        <f t="shared" si="2"/>
        <v>13140</v>
      </c>
      <c r="J69" s="6">
        <f t="shared" si="0"/>
        <v>1971</v>
      </c>
      <c r="K69" s="96">
        <f t="shared" si="1"/>
        <v>15111</v>
      </c>
      <c r="L69" s="97" t="s">
        <v>25</v>
      </c>
      <c r="M69" s="18"/>
      <c r="N69" s="26"/>
      <c r="O69" s="26"/>
      <c r="P69" s="10"/>
    </row>
    <row r="70" spans="1:16" x14ac:dyDescent="0.3">
      <c r="A70" s="47">
        <v>45979</v>
      </c>
      <c r="B70" s="48">
        <v>1084</v>
      </c>
      <c r="C70" s="5" t="s">
        <v>130</v>
      </c>
      <c r="D70" s="48" t="s">
        <v>99</v>
      </c>
      <c r="E70" s="48" t="s">
        <v>11</v>
      </c>
      <c r="F70" s="49">
        <v>-250</v>
      </c>
      <c r="G70" s="49">
        <v>165</v>
      </c>
      <c r="H70" s="49">
        <v>-250</v>
      </c>
      <c r="I70" s="49">
        <f t="shared" si="2"/>
        <v>-41250</v>
      </c>
      <c r="J70" s="49">
        <f t="shared" si="0"/>
        <v>-6187.5</v>
      </c>
      <c r="K70" s="51">
        <f t="shared" si="1"/>
        <v>-47437.5</v>
      </c>
      <c r="L70" s="46" t="s">
        <v>101</v>
      </c>
      <c r="N70" s="26"/>
      <c r="O70" s="26"/>
      <c r="P70" s="10" t="s">
        <v>114</v>
      </c>
    </row>
    <row r="71" spans="1:16" x14ac:dyDescent="0.3">
      <c r="A71" s="2">
        <v>45979</v>
      </c>
      <c r="B71" s="143">
        <v>1085</v>
      </c>
      <c r="C71" s="5" t="s">
        <v>130</v>
      </c>
      <c r="D71" s="5" t="s">
        <v>79</v>
      </c>
      <c r="E71" s="5" t="s">
        <v>11</v>
      </c>
      <c r="F71" s="6">
        <v>845</v>
      </c>
      <c r="G71" s="6">
        <v>165</v>
      </c>
      <c r="H71" s="6">
        <v>845</v>
      </c>
      <c r="I71" s="6">
        <f t="shared" si="2"/>
        <v>139425</v>
      </c>
      <c r="J71" s="6">
        <f t="shared" si="0"/>
        <v>20913.75</v>
      </c>
      <c r="K71" s="101">
        <f t="shared" si="1"/>
        <v>160338.75</v>
      </c>
      <c r="L71" s="68" t="s">
        <v>25</v>
      </c>
      <c r="M71" s="69"/>
      <c r="N71" s="26"/>
      <c r="O71" s="26"/>
      <c r="P71" s="10" t="s">
        <v>114</v>
      </c>
    </row>
    <row r="72" spans="1:16" x14ac:dyDescent="0.3">
      <c r="A72" s="2">
        <v>45979</v>
      </c>
      <c r="B72" s="5">
        <v>1086</v>
      </c>
      <c r="C72" s="5" t="s">
        <v>130</v>
      </c>
      <c r="D72" s="1" t="s">
        <v>72</v>
      </c>
      <c r="E72" s="5" t="s">
        <v>46</v>
      </c>
      <c r="F72" s="6">
        <v>50</v>
      </c>
      <c r="G72" s="6">
        <v>24.5</v>
      </c>
      <c r="H72" s="6">
        <v>1052.73</v>
      </c>
      <c r="I72" s="6">
        <f t="shared" si="2"/>
        <v>25791.885000000002</v>
      </c>
      <c r="J72" s="6">
        <f t="shared" si="0"/>
        <v>3868.7827500000003</v>
      </c>
      <c r="K72" s="27">
        <f t="shared" si="1"/>
        <v>29660.667750000001</v>
      </c>
      <c r="L72" s="91" t="s">
        <v>25</v>
      </c>
      <c r="M72" s="16"/>
      <c r="N72" s="26"/>
      <c r="O72" s="26"/>
      <c r="P72" s="10"/>
    </row>
    <row r="73" spans="1:16" x14ac:dyDescent="0.3">
      <c r="A73" s="2">
        <v>45979</v>
      </c>
      <c r="B73" s="5">
        <v>1087</v>
      </c>
      <c r="C73" s="5" t="s">
        <v>130</v>
      </c>
      <c r="D73" s="5" t="s">
        <v>32</v>
      </c>
      <c r="E73" s="5" t="s">
        <v>17</v>
      </c>
      <c r="F73" s="6">
        <v>30</v>
      </c>
      <c r="G73" s="6">
        <v>284</v>
      </c>
      <c r="H73" s="6">
        <v>30</v>
      </c>
      <c r="I73" s="6">
        <f t="shared" si="2"/>
        <v>8520</v>
      </c>
      <c r="J73" s="6">
        <f t="shared" si="0"/>
        <v>1278</v>
      </c>
      <c r="K73" s="106">
        <f t="shared" si="1"/>
        <v>9798</v>
      </c>
      <c r="L73" s="107" t="s">
        <v>25</v>
      </c>
      <c r="M73" s="108"/>
      <c r="N73" s="26"/>
      <c r="O73" s="26"/>
      <c r="P73" s="10" t="s">
        <v>114</v>
      </c>
    </row>
    <row r="74" spans="1:16" x14ac:dyDescent="0.3">
      <c r="A74" s="2">
        <v>45979</v>
      </c>
      <c r="B74" s="5">
        <v>1088</v>
      </c>
      <c r="C74" s="5" t="s">
        <v>130</v>
      </c>
      <c r="D74" s="5" t="s">
        <v>89</v>
      </c>
      <c r="E74" s="5" t="s">
        <v>17</v>
      </c>
      <c r="F74" s="6">
        <v>5</v>
      </c>
      <c r="G74" s="6">
        <v>285</v>
      </c>
      <c r="H74" s="6">
        <v>5</v>
      </c>
      <c r="I74" s="6">
        <f t="shared" si="2"/>
        <v>1425</v>
      </c>
      <c r="J74" s="6">
        <f t="shared" si="0"/>
        <v>213.75</v>
      </c>
      <c r="K74" s="96">
        <f t="shared" si="1"/>
        <v>1638.75</v>
      </c>
      <c r="L74" s="97" t="s">
        <v>25</v>
      </c>
      <c r="M74" s="18"/>
      <c r="N74" s="26"/>
      <c r="O74" s="26"/>
      <c r="P74" s="10"/>
    </row>
    <row r="75" spans="1:16" x14ac:dyDescent="0.3">
      <c r="A75" s="2">
        <v>45979</v>
      </c>
      <c r="B75" s="5">
        <v>1089</v>
      </c>
      <c r="C75" s="5" t="s">
        <v>130</v>
      </c>
      <c r="D75" s="1" t="s">
        <v>33</v>
      </c>
      <c r="E75" s="5" t="s">
        <v>17</v>
      </c>
      <c r="F75" s="6">
        <v>7</v>
      </c>
      <c r="G75" s="6">
        <v>286</v>
      </c>
      <c r="H75" s="6">
        <v>7</v>
      </c>
      <c r="I75" s="6">
        <f t="shared" si="2"/>
        <v>2002</v>
      </c>
      <c r="J75" s="6">
        <f t="shared" si="0"/>
        <v>300.3</v>
      </c>
      <c r="K75" s="96">
        <f t="shared" si="1"/>
        <v>2302.3000000000002</v>
      </c>
      <c r="L75" s="97" t="s">
        <v>25</v>
      </c>
      <c r="M75" s="105"/>
      <c r="N75" s="26"/>
      <c r="O75" s="26"/>
      <c r="P75" s="10"/>
    </row>
    <row r="76" spans="1:16" x14ac:dyDescent="0.3">
      <c r="A76" s="2">
        <v>45979</v>
      </c>
      <c r="B76" s="5">
        <v>1090</v>
      </c>
      <c r="C76" s="5" t="s">
        <v>131</v>
      </c>
      <c r="D76" s="5" t="s">
        <v>96</v>
      </c>
      <c r="E76" s="5" t="s">
        <v>18</v>
      </c>
      <c r="F76" s="6">
        <v>50</v>
      </c>
      <c r="G76" s="6">
        <v>335</v>
      </c>
      <c r="H76" s="6">
        <v>50</v>
      </c>
      <c r="I76" s="6">
        <f t="shared" si="2"/>
        <v>16750</v>
      </c>
      <c r="J76" s="6">
        <f t="shared" si="0"/>
        <v>2512.5</v>
      </c>
      <c r="K76" s="101">
        <f t="shared" si="1"/>
        <v>19262.5</v>
      </c>
      <c r="L76" s="68" t="s">
        <v>25</v>
      </c>
      <c r="M76" s="102"/>
      <c r="N76" s="26"/>
      <c r="O76" s="26"/>
      <c r="P76" s="10"/>
    </row>
    <row r="77" spans="1:16" x14ac:dyDescent="0.3">
      <c r="A77" s="2">
        <v>45979</v>
      </c>
      <c r="B77" s="5">
        <v>1090</v>
      </c>
      <c r="C77" s="5" t="s">
        <v>131</v>
      </c>
      <c r="D77" s="5" t="s">
        <v>96</v>
      </c>
      <c r="E77" s="5" t="s">
        <v>97</v>
      </c>
      <c r="F77" s="6">
        <v>20</v>
      </c>
      <c r="G77" s="6">
        <v>412</v>
      </c>
      <c r="H77" s="6">
        <v>20</v>
      </c>
      <c r="I77" s="6">
        <f t="shared" si="2"/>
        <v>8240</v>
      </c>
      <c r="J77" s="6">
        <f t="shared" si="0"/>
        <v>1236</v>
      </c>
      <c r="K77" s="101">
        <f t="shared" si="1"/>
        <v>9476</v>
      </c>
      <c r="L77" s="68" t="s">
        <v>25</v>
      </c>
      <c r="M77" s="69"/>
      <c r="N77" s="26"/>
      <c r="O77" s="26"/>
      <c r="P77" s="10" t="s">
        <v>114</v>
      </c>
    </row>
    <row r="78" spans="1:16" x14ac:dyDescent="0.3">
      <c r="A78" s="2">
        <v>45979</v>
      </c>
      <c r="B78" s="143">
        <v>1091</v>
      </c>
      <c r="C78" s="5" t="s">
        <v>131</v>
      </c>
      <c r="D78" s="5" t="s">
        <v>102</v>
      </c>
      <c r="E78" s="5" t="s">
        <v>43</v>
      </c>
      <c r="F78" s="6">
        <v>50</v>
      </c>
      <c r="G78" s="6">
        <v>165</v>
      </c>
      <c r="H78" s="6">
        <v>50</v>
      </c>
      <c r="I78" s="6">
        <f t="shared" si="2"/>
        <v>8250</v>
      </c>
      <c r="J78" s="6">
        <f t="shared" si="0"/>
        <v>1237.5</v>
      </c>
      <c r="K78" s="104">
        <f t="shared" si="1"/>
        <v>9487.5</v>
      </c>
      <c r="L78" s="63" t="s">
        <v>25</v>
      </c>
      <c r="N78" s="26"/>
      <c r="O78" s="26"/>
      <c r="P78" s="10" t="s">
        <v>114</v>
      </c>
    </row>
    <row r="79" spans="1:16" x14ac:dyDescent="0.3">
      <c r="A79" s="2">
        <v>45979</v>
      </c>
      <c r="B79" s="143">
        <v>1091</v>
      </c>
      <c r="C79" s="5" t="s">
        <v>131</v>
      </c>
      <c r="D79" s="5" t="s">
        <v>102</v>
      </c>
      <c r="E79" s="5" t="s">
        <v>95</v>
      </c>
      <c r="F79" s="6">
        <v>50</v>
      </c>
      <c r="G79" s="6">
        <v>425</v>
      </c>
      <c r="H79" s="6">
        <v>50</v>
      </c>
      <c r="I79" s="6">
        <f t="shared" si="2"/>
        <v>21250</v>
      </c>
      <c r="J79" s="6">
        <f t="shared" si="0"/>
        <v>3187.5</v>
      </c>
      <c r="K79" s="104">
        <f t="shared" si="1"/>
        <v>24437.5</v>
      </c>
      <c r="L79" s="63" t="s">
        <v>25</v>
      </c>
      <c r="N79" s="26"/>
      <c r="O79" s="26"/>
      <c r="P79" s="10" t="s">
        <v>114</v>
      </c>
    </row>
    <row r="80" spans="1:16" x14ac:dyDescent="0.3">
      <c r="A80" s="2">
        <v>45979</v>
      </c>
      <c r="B80" s="143">
        <v>1091</v>
      </c>
      <c r="C80" s="5" t="s">
        <v>131</v>
      </c>
      <c r="D80" s="5" t="s">
        <v>102</v>
      </c>
      <c r="E80" s="5" t="s">
        <v>18</v>
      </c>
      <c r="F80" s="6">
        <v>100</v>
      </c>
      <c r="G80" s="6">
        <v>330</v>
      </c>
      <c r="H80" s="6">
        <v>100</v>
      </c>
      <c r="I80" s="6">
        <f t="shared" si="2"/>
        <v>33000</v>
      </c>
      <c r="J80" s="6">
        <f t="shared" si="0"/>
        <v>4950</v>
      </c>
      <c r="K80" s="93">
        <f t="shared" si="1"/>
        <v>37950</v>
      </c>
      <c r="L80" s="103" t="s">
        <v>103</v>
      </c>
      <c r="M80" s="94"/>
      <c r="N80" s="26"/>
      <c r="O80" s="26"/>
      <c r="P80" s="10" t="s">
        <v>114</v>
      </c>
    </row>
    <row r="81" spans="1:16" x14ac:dyDescent="0.3">
      <c r="A81" s="2">
        <v>45979</v>
      </c>
      <c r="B81" s="5">
        <v>1092</v>
      </c>
      <c r="C81" s="5" t="s">
        <v>131</v>
      </c>
      <c r="D81" s="5" t="s">
        <v>85</v>
      </c>
      <c r="E81" s="5" t="s">
        <v>11</v>
      </c>
      <c r="F81" s="6">
        <v>300</v>
      </c>
      <c r="G81" s="6">
        <v>165</v>
      </c>
      <c r="H81" s="6">
        <v>300</v>
      </c>
      <c r="I81" s="6">
        <f t="shared" si="2"/>
        <v>49500</v>
      </c>
      <c r="J81" s="6">
        <f t="shared" si="0"/>
        <v>7425</v>
      </c>
      <c r="K81" s="27">
        <f t="shared" si="1"/>
        <v>56925</v>
      </c>
      <c r="L81" s="91" t="s">
        <v>25</v>
      </c>
      <c r="M81" s="10"/>
      <c r="N81" s="26"/>
      <c r="O81" s="26"/>
      <c r="P81" s="10"/>
    </row>
    <row r="82" spans="1:16" x14ac:dyDescent="0.3">
      <c r="A82" s="2">
        <v>45980</v>
      </c>
      <c r="B82" s="5">
        <v>1093</v>
      </c>
      <c r="C82" s="5" t="s">
        <v>130</v>
      </c>
      <c r="D82" s="5" t="s">
        <v>79</v>
      </c>
      <c r="E82" s="5" t="s">
        <v>46</v>
      </c>
      <c r="F82" s="6">
        <v>100</v>
      </c>
      <c r="G82" s="6">
        <v>24.5</v>
      </c>
      <c r="H82" s="6">
        <v>2206.34</v>
      </c>
      <c r="I82" s="6">
        <f t="shared" si="2"/>
        <v>54055.33</v>
      </c>
      <c r="J82" s="6">
        <f t="shared" si="0"/>
        <v>8108.2995000000001</v>
      </c>
      <c r="K82" s="27">
        <f t="shared" si="1"/>
        <v>62163.629500000003</v>
      </c>
      <c r="L82" s="91" t="s">
        <v>25</v>
      </c>
      <c r="M82" s="16"/>
      <c r="N82" s="26"/>
      <c r="O82" s="26"/>
      <c r="P82" s="10" t="s">
        <v>114</v>
      </c>
    </row>
    <row r="83" spans="1:16" x14ac:dyDescent="0.3">
      <c r="A83" s="2">
        <v>45980</v>
      </c>
      <c r="B83" s="5">
        <v>1094</v>
      </c>
      <c r="C83" s="5" t="s">
        <v>130</v>
      </c>
      <c r="D83" s="5" t="s">
        <v>47</v>
      </c>
      <c r="E83" s="5" t="s">
        <v>18</v>
      </c>
      <c r="F83" s="6">
        <v>1</v>
      </c>
      <c r="G83" s="6">
        <v>340</v>
      </c>
      <c r="H83" s="6">
        <v>1</v>
      </c>
      <c r="I83" s="6">
        <f t="shared" si="2"/>
        <v>340</v>
      </c>
      <c r="J83" s="6">
        <f t="shared" si="0"/>
        <v>51</v>
      </c>
      <c r="K83" s="96">
        <f t="shared" si="1"/>
        <v>391</v>
      </c>
      <c r="L83" s="97" t="s">
        <v>25</v>
      </c>
      <c r="M83" s="105"/>
      <c r="N83" s="26"/>
      <c r="O83" s="26"/>
      <c r="P83" s="10"/>
    </row>
    <row r="84" spans="1:16" x14ac:dyDescent="0.3">
      <c r="A84" s="2">
        <v>45980</v>
      </c>
      <c r="B84" s="5">
        <v>1094</v>
      </c>
      <c r="C84" s="5" t="s">
        <v>130</v>
      </c>
      <c r="D84" s="5" t="s">
        <v>47</v>
      </c>
      <c r="E84" s="5" t="s">
        <v>97</v>
      </c>
      <c r="F84" s="6">
        <v>1</v>
      </c>
      <c r="G84" s="6">
        <v>420</v>
      </c>
      <c r="H84" s="6">
        <v>1</v>
      </c>
      <c r="I84" s="6">
        <f t="shared" si="2"/>
        <v>420</v>
      </c>
      <c r="J84" s="6">
        <f t="shared" si="0"/>
        <v>63</v>
      </c>
      <c r="K84" s="96">
        <f t="shared" si="1"/>
        <v>483</v>
      </c>
      <c r="L84" s="97" t="s">
        <v>25</v>
      </c>
      <c r="M84" s="105"/>
      <c r="N84" s="26"/>
      <c r="O84" s="26"/>
      <c r="P84" s="10"/>
    </row>
    <row r="85" spans="1:16" x14ac:dyDescent="0.3">
      <c r="A85" s="2">
        <v>45980</v>
      </c>
      <c r="B85" s="5">
        <v>1095</v>
      </c>
      <c r="C85" s="5" t="s">
        <v>130</v>
      </c>
      <c r="D85" s="5" t="s">
        <v>47</v>
      </c>
      <c r="E85" s="5" t="s">
        <v>18</v>
      </c>
      <c r="F85" s="6">
        <v>1</v>
      </c>
      <c r="G85" s="6">
        <v>340</v>
      </c>
      <c r="H85" s="6">
        <v>1</v>
      </c>
      <c r="I85" s="6">
        <f t="shared" si="2"/>
        <v>340</v>
      </c>
      <c r="J85" s="6">
        <f t="shared" si="0"/>
        <v>51</v>
      </c>
      <c r="K85" s="96">
        <f t="shared" si="1"/>
        <v>391</v>
      </c>
      <c r="L85" s="97" t="s">
        <v>25</v>
      </c>
      <c r="M85" s="105"/>
      <c r="N85" s="26"/>
      <c r="O85" s="26"/>
      <c r="P85" s="10"/>
    </row>
    <row r="86" spans="1:16" x14ac:dyDescent="0.3">
      <c r="A86" s="2">
        <v>45980</v>
      </c>
      <c r="B86" s="5">
        <v>1096</v>
      </c>
      <c r="C86" s="5" t="s">
        <v>130</v>
      </c>
      <c r="D86" s="5" t="s">
        <v>105</v>
      </c>
      <c r="E86" s="5" t="s">
        <v>43</v>
      </c>
      <c r="F86" s="6">
        <v>1</v>
      </c>
      <c r="G86" s="6">
        <v>165</v>
      </c>
      <c r="H86" s="6">
        <v>1</v>
      </c>
      <c r="I86" s="6">
        <f t="shared" si="2"/>
        <v>165</v>
      </c>
      <c r="J86" s="6">
        <f t="shared" si="0"/>
        <v>24.75</v>
      </c>
      <c r="K86" s="27">
        <f t="shared" si="1"/>
        <v>189.75</v>
      </c>
      <c r="L86" s="91" t="s">
        <v>25</v>
      </c>
      <c r="M86" s="95"/>
      <c r="N86" s="26"/>
      <c r="O86" s="26"/>
      <c r="P86" s="10" t="s">
        <v>114</v>
      </c>
    </row>
    <row r="87" spans="1:16" x14ac:dyDescent="0.3">
      <c r="A87" s="2">
        <v>45980</v>
      </c>
      <c r="B87" s="5">
        <v>1097</v>
      </c>
      <c r="C87" s="5" t="s">
        <v>130</v>
      </c>
      <c r="D87" s="5" t="s">
        <v>87</v>
      </c>
      <c r="E87" s="5" t="s">
        <v>106</v>
      </c>
      <c r="F87" s="6">
        <v>16</v>
      </c>
      <c r="G87" s="6">
        <v>400</v>
      </c>
      <c r="H87" s="6">
        <v>16</v>
      </c>
      <c r="I87" s="6">
        <f t="shared" si="2"/>
        <v>6400</v>
      </c>
      <c r="J87" s="6">
        <f t="shared" si="0"/>
        <v>960</v>
      </c>
      <c r="K87" s="27">
        <f t="shared" si="1"/>
        <v>7360</v>
      </c>
      <c r="L87" s="91" t="s">
        <v>25</v>
      </c>
      <c r="M87" s="16"/>
      <c r="N87" s="26"/>
      <c r="O87" s="26"/>
      <c r="P87" s="10"/>
    </row>
    <row r="88" spans="1:16" x14ac:dyDescent="0.3">
      <c r="A88" s="2">
        <v>45981</v>
      </c>
      <c r="B88" s="5">
        <v>1098</v>
      </c>
      <c r="C88" s="5" t="s">
        <v>130</v>
      </c>
      <c r="D88" s="5" t="s">
        <v>82</v>
      </c>
      <c r="E88" s="5" t="s">
        <v>11</v>
      </c>
      <c r="F88" s="6">
        <v>125</v>
      </c>
      <c r="G88" s="6">
        <v>166</v>
      </c>
      <c r="H88" s="6">
        <v>125</v>
      </c>
      <c r="I88" s="6">
        <f t="shared" si="2"/>
        <v>20750</v>
      </c>
      <c r="J88" s="6">
        <f t="shared" si="0"/>
        <v>3112.5</v>
      </c>
      <c r="K88" s="27">
        <f t="shared" si="1"/>
        <v>23862.5</v>
      </c>
      <c r="L88" s="91" t="s">
        <v>25</v>
      </c>
      <c r="M88" s="95"/>
      <c r="N88" s="26"/>
      <c r="O88" s="26"/>
      <c r="P88" s="10"/>
    </row>
    <row r="89" spans="1:16" x14ac:dyDescent="0.3">
      <c r="A89" s="2">
        <v>45981</v>
      </c>
      <c r="B89" s="5">
        <v>1099</v>
      </c>
      <c r="C89" s="5" t="s">
        <v>130</v>
      </c>
      <c r="D89" s="5" t="s">
        <v>107</v>
      </c>
      <c r="E89" s="5" t="s">
        <v>17</v>
      </c>
      <c r="F89" s="6">
        <v>100</v>
      </c>
      <c r="G89" s="6">
        <v>285</v>
      </c>
      <c r="H89" s="6">
        <v>100</v>
      </c>
      <c r="I89" s="6">
        <f t="shared" si="2"/>
        <v>28500</v>
      </c>
      <c r="J89" s="6">
        <f t="shared" si="0"/>
        <v>4275</v>
      </c>
      <c r="K89" s="101">
        <f t="shared" si="1"/>
        <v>32775</v>
      </c>
      <c r="L89" s="68" t="s">
        <v>25</v>
      </c>
      <c r="M89" s="69"/>
      <c r="N89" s="26"/>
      <c r="O89" s="26"/>
      <c r="P89" s="10"/>
    </row>
    <row r="90" spans="1:16" x14ac:dyDescent="0.3">
      <c r="A90" s="2">
        <v>45981</v>
      </c>
      <c r="B90" s="5">
        <v>1099</v>
      </c>
      <c r="C90" s="5" t="s">
        <v>130</v>
      </c>
      <c r="D90" s="5" t="s">
        <v>107</v>
      </c>
      <c r="E90" s="5" t="s">
        <v>108</v>
      </c>
      <c r="F90" s="6">
        <v>90</v>
      </c>
      <c r="G90" s="6">
        <v>106</v>
      </c>
      <c r="H90" s="6">
        <v>90</v>
      </c>
      <c r="I90" s="6">
        <f t="shared" si="2"/>
        <v>9540</v>
      </c>
      <c r="J90" s="6">
        <f t="shared" si="0"/>
        <v>1431</v>
      </c>
      <c r="K90" s="101">
        <f t="shared" si="1"/>
        <v>10971</v>
      </c>
      <c r="L90" s="68" t="s">
        <v>25</v>
      </c>
      <c r="M90" s="69"/>
      <c r="N90" s="26"/>
      <c r="O90" s="26"/>
      <c r="P90" s="10"/>
    </row>
    <row r="91" spans="1:16" x14ac:dyDescent="0.3">
      <c r="A91" s="2">
        <v>45981</v>
      </c>
      <c r="B91" s="5">
        <v>1099</v>
      </c>
      <c r="C91" s="5" t="s">
        <v>130</v>
      </c>
      <c r="D91" s="5" t="s">
        <v>107</v>
      </c>
      <c r="E91" s="5" t="s">
        <v>109</v>
      </c>
      <c r="F91" s="6">
        <v>80</v>
      </c>
      <c r="G91" s="6">
        <v>114</v>
      </c>
      <c r="H91" s="6">
        <v>80</v>
      </c>
      <c r="I91" s="6">
        <f t="shared" si="2"/>
        <v>9120</v>
      </c>
      <c r="J91" s="6">
        <f t="shared" si="0"/>
        <v>1368</v>
      </c>
      <c r="K91" s="101">
        <f t="shared" si="1"/>
        <v>10488</v>
      </c>
      <c r="L91" s="68" t="s">
        <v>25</v>
      </c>
      <c r="M91" s="69"/>
      <c r="N91" s="26"/>
      <c r="O91" s="26"/>
      <c r="P91" s="10"/>
    </row>
    <row r="92" spans="1:16" x14ac:dyDescent="0.3">
      <c r="A92" s="2">
        <v>45981</v>
      </c>
      <c r="B92" s="5">
        <v>1100</v>
      </c>
      <c r="C92" s="5" t="s">
        <v>130</v>
      </c>
      <c r="D92" s="5" t="s">
        <v>32</v>
      </c>
      <c r="E92" s="5" t="s">
        <v>98</v>
      </c>
      <c r="F92" s="6">
        <v>50</v>
      </c>
      <c r="G92" s="6">
        <v>413</v>
      </c>
      <c r="H92" s="6">
        <v>50</v>
      </c>
      <c r="I92" s="6">
        <f t="shared" si="2"/>
        <v>20650</v>
      </c>
      <c r="J92" s="6">
        <f t="shared" si="0"/>
        <v>3097.5</v>
      </c>
      <c r="K92" s="106">
        <f t="shared" si="1"/>
        <v>23747.5</v>
      </c>
      <c r="L92" s="107" t="s">
        <v>25</v>
      </c>
      <c r="M92" s="108"/>
      <c r="N92" s="26"/>
      <c r="O92" s="26"/>
      <c r="P92" s="10" t="s">
        <v>114</v>
      </c>
    </row>
    <row r="93" spans="1:16" x14ac:dyDescent="0.3">
      <c r="A93" s="2">
        <v>45981</v>
      </c>
      <c r="B93" s="5">
        <v>1101</v>
      </c>
      <c r="C93" s="5" t="s">
        <v>130</v>
      </c>
      <c r="D93" s="5" t="s">
        <v>31</v>
      </c>
      <c r="E93" s="5" t="s">
        <v>17</v>
      </c>
      <c r="F93" s="6">
        <v>50</v>
      </c>
      <c r="G93" s="6">
        <v>286</v>
      </c>
      <c r="H93" s="6">
        <v>50</v>
      </c>
      <c r="I93" s="6">
        <f t="shared" si="2"/>
        <v>14300</v>
      </c>
      <c r="J93" s="6">
        <f t="shared" si="0"/>
        <v>2145</v>
      </c>
      <c r="K93" s="27">
        <f t="shared" si="1"/>
        <v>16445</v>
      </c>
      <c r="L93" s="91" t="s">
        <v>25</v>
      </c>
      <c r="N93" s="26"/>
      <c r="O93" s="26"/>
      <c r="P93" s="10" t="s">
        <v>114</v>
      </c>
    </row>
    <row r="94" spans="1:16" x14ac:dyDescent="0.3">
      <c r="A94" s="2">
        <v>45981</v>
      </c>
      <c r="B94" s="5">
        <v>1101</v>
      </c>
      <c r="C94" s="5" t="s">
        <v>130</v>
      </c>
      <c r="D94" s="5" t="s">
        <v>31</v>
      </c>
      <c r="E94" s="5" t="s">
        <v>18</v>
      </c>
      <c r="F94" s="6">
        <v>50</v>
      </c>
      <c r="G94" s="6">
        <v>334</v>
      </c>
      <c r="H94" s="6">
        <v>50</v>
      </c>
      <c r="I94" s="6">
        <f t="shared" si="2"/>
        <v>16700</v>
      </c>
      <c r="J94" s="6">
        <f t="shared" si="0"/>
        <v>2505</v>
      </c>
      <c r="K94" s="27">
        <f t="shared" si="1"/>
        <v>19205</v>
      </c>
      <c r="L94" s="91" t="s">
        <v>25</v>
      </c>
      <c r="N94" s="26"/>
      <c r="O94" s="26"/>
      <c r="P94" s="10" t="s">
        <v>114</v>
      </c>
    </row>
    <row r="95" spans="1:16" x14ac:dyDescent="0.3">
      <c r="A95" s="2">
        <v>45981</v>
      </c>
      <c r="B95" s="5">
        <v>1101</v>
      </c>
      <c r="C95" s="5" t="s">
        <v>130</v>
      </c>
      <c r="D95" s="5" t="s">
        <v>31</v>
      </c>
      <c r="E95" s="5" t="s">
        <v>106</v>
      </c>
      <c r="F95" s="6">
        <v>50</v>
      </c>
      <c r="G95" s="6">
        <v>402</v>
      </c>
      <c r="H95" s="6">
        <v>50</v>
      </c>
      <c r="I95" s="6">
        <f t="shared" si="2"/>
        <v>20100</v>
      </c>
      <c r="J95" s="6">
        <f t="shared" si="0"/>
        <v>3015</v>
      </c>
      <c r="K95" s="27">
        <f t="shared" si="1"/>
        <v>23115</v>
      </c>
      <c r="L95" s="91" t="s">
        <v>25</v>
      </c>
      <c r="N95" s="26"/>
      <c r="O95" s="26"/>
      <c r="P95" s="10" t="s">
        <v>114</v>
      </c>
    </row>
    <row r="96" spans="1:16" x14ac:dyDescent="0.3">
      <c r="A96" s="2">
        <v>45981</v>
      </c>
      <c r="B96" s="5">
        <v>1102</v>
      </c>
      <c r="C96" s="5" t="s">
        <v>130</v>
      </c>
      <c r="D96" s="5" t="s">
        <v>110</v>
      </c>
      <c r="E96" s="5" t="s">
        <v>17</v>
      </c>
      <c r="F96" s="6">
        <v>200</v>
      </c>
      <c r="G96" s="6">
        <v>284</v>
      </c>
      <c r="H96" s="6">
        <v>200</v>
      </c>
      <c r="I96" s="6">
        <f t="shared" si="2"/>
        <v>56800</v>
      </c>
      <c r="J96" s="6">
        <f t="shared" si="0"/>
        <v>8520</v>
      </c>
      <c r="K96" s="27">
        <f t="shared" si="1"/>
        <v>65320</v>
      </c>
      <c r="L96" s="91" t="s">
        <v>25</v>
      </c>
      <c r="M96" s="95"/>
      <c r="N96" s="26"/>
      <c r="O96" s="26"/>
      <c r="P96" s="10"/>
    </row>
    <row r="97" spans="1:16" x14ac:dyDescent="0.3">
      <c r="A97" s="2">
        <v>45981</v>
      </c>
      <c r="B97" s="5">
        <v>1103</v>
      </c>
      <c r="C97" s="5" t="s">
        <v>130</v>
      </c>
      <c r="D97" s="5" t="s">
        <v>76</v>
      </c>
      <c r="E97" s="5" t="s">
        <v>17</v>
      </c>
      <c r="F97" s="6">
        <v>100</v>
      </c>
      <c r="G97" s="6">
        <v>285</v>
      </c>
      <c r="H97" s="6">
        <v>100</v>
      </c>
      <c r="I97" s="6">
        <f t="shared" si="2"/>
        <v>28500</v>
      </c>
      <c r="J97" s="6">
        <f t="shared" si="0"/>
        <v>4275</v>
      </c>
      <c r="K97" s="96">
        <f t="shared" si="1"/>
        <v>32775</v>
      </c>
      <c r="L97" s="97" t="s">
        <v>25</v>
      </c>
      <c r="M97" s="18"/>
      <c r="N97" s="26"/>
      <c r="O97" s="26"/>
      <c r="P97" s="10"/>
    </row>
    <row r="98" spans="1:16" x14ac:dyDescent="0.3">
      <c r="A98" s="2">
        <v>45981</v>
      </c>
      <c r="B98" s="5">
        <v>1103</v>
      </c>
      <c r="C98" s="5" t="s">
        <v>130</v>
      </c>
      <c r="D98" s="5" t="s">
        <v>76</v>
      </c>
      <c r="E98" s="5" t="s">
        <v>11</v>
      </c>
      <c r="F98" s="6">
        <v>30</v>
      </c>
      <c r="G98" s="6">
        <v>166</v>
      </c>
      <c r="H98" s="6">
        <v>30</v>
      </c>
      <c r="I98" s="6">
        <f t="shared" si="2"/>
        <v>4980</v>
      </c>
      <c r="J98" s="6">
        <f t="shared" si="0"/>
        <v>747</v>
      </c>
      <c r="K98" s="96">
        <f t="shared" si="1"/>
        <v>5727</v>
      </c>
      <c r="L98" s="97" t="s">
        <v>25</v>
      </c>
      <c r="M98" s="18"/>
      <c r="N98" s="26"/>
      <c r="O98" s="26"/>
      <c r="P98" s="10"/>
    </row>
    <row r="99" spans="1:16" x14ac:dyDescent="0.3">
      <c r="A99" s="2">
        <v>45981</v>
      </c>
      <c r="B99" s="5">
        <v>1104</v>
      </c>
      <c r="C99" s="5" t="s">
        <v>130</v>
      </c>
      <c r="D99" s="5" t="s">
        <v>88</v>
      </c>
      <c r="E99" s="5" t="s">
        <v>11</v>
      </c>
      <c r="F99" s="6">
        <v>30</v>
      </c>
      <c r="G99" s="6">
        <v>166</v>
      </c>
      <c r="H99" s="6">
        <v>30</v>
      </c>
      <c r="I99" s="6">
        <f t="shared" si="2"/>
        <v>4980</v>
      </c>
      <c r="J99" s="6">
        <f t="shared" si="0"/>
        <v>747</v>
      </c>
      <c r="K99" s="27">
        <f t="shared" si="1"/>
        <v>5727</v>
      </c>
      <c r="L99" s="91" t="s">
        <v>25</v>
      </c>
      <c r="M99" s="95"/>
      <c r="N99" s="26"/>
      <c r="O99" s="26"/>
      <c r="P99" s="10" t="s">
        <v>114</v>
      </c>
    </row>
    <row r="100" spans="1:16" x14ac:dyDescent="0.3">
      <c r="A100" s="2">
        <v>45981</v>
      </c>
      <c r="B100" s="5">
        <v>1105</v>
      </c>
      <c r="C100" s="5" t="s">
        <v>130</v>
      </c>
      <c r="D100" s="5" t="s">
        <v>33</v>
      </c>
      <c r="E100" s="5" t="s">
        <v>17</v>
      </c>
      <c r="F100" s="6">
        <v>10</v>
      </c>
      <c r="G100" s="6">
        <v>286</v>
      </c>
      <c r="H100" s="6">
        <v>10</v>
      </c>
      <c r="I100" s="6">
        <f t="shared" si="2"/>
        <v>2860</v>
      </c>
      <c r="J100" s="6">
        <f t="shared" si="0"/>
        <v>429</v>
      </c>
      <c r="K100" s="98">
        <f t="shared" si="1"/>
        <v>3289</v>
      </c>
      <c r="L100" s="99" t="s">
        <v>25</v>
      </c>
      <c r="M100" s="111"/>
      <c r="N100" s="26"/>
      <c r="O100" s="26"/>
      <c r="P100" s="10" t="s">
        <v>114</v>
      </c>
    </row>
    <row r="101" spans="1:16" x14ac:dyDescent="0.3">
      <c r="A101" s="2">
        <v>45981</v>
      </c>
      <c r="B101" s="5">
        <v>1106</v>
      </c>
      <c r="C101" s="5" t="s">
        <v>130</v>
      </c>
      <c r="D101" s="5" t="s">
        <v>89</v>
      </c>
      <c r="E101" s="5" t="s">
        <v>17</v>
      </c>
      <c r="F101" s="6">
        <v>10</v>
      </c>
      <c r="G101" s="6">
        <v>285</v>
      </c>
      <c r="H101" s="6">
        <v>10</v>
      </c>
      <c r="I101" s="6">
        <f t="shared" si="2"/>
        <v>2850</v>
      </c>
      <c r="J101" s="6">
        <f t="shared" si="0"/>
        <v>427.5</v>
      </c>
      <c r="K101" s="96">
        <f t="shared" si="1"/>
        <v>3277.5</v>
      </c>
      <c r="L101" s="97" t="s">
        <v>25</v>
      </c>
      <c r="M101" s="18"/>
      <c r="N101" s="26"/>
      <c r="O101" s="26"/>
      <c r="P101" s="10"/>
    </row>
    <row r="102" spans="1:16" x14ac:dyDescent="0.3">
      <c r="A102" s="2">
        <v>45981</v>
      </c>
      <c r="B102" s="5">
        <v>1107</v>
      </c>
      <c r="C102" s="5" t="s">
        <v>130</v>
      </c>
      <c r="D102" s="1" t="s">
        <v>30</v>
      </c>
      <c r="E102" s="5" t="s">
        <v>111</v>
      </c>
      <c r="F102" s="6">
        <v>50</v>
      </c>
      <c r="G102" s="6">
        <v>44</v>
      </c>
      <c r="H102" s="6">
        <v>50</v>
      </c>
      <c r="I102" s="6">
        <f t="shared" si="2"/>
        <v>2200</v>
      </c>
      <c r="J102" s="6">
        <f t="shared" si="0"/>
        <v>330</v>
      </c>
      <c r="K102" s="96">
        <f t="shared" si="1"/>
        <v>2530</v>
      </c>
      <c r="L102" s="97" t="s">
        <v>25</v>
      </c>
      <c r="M102" s="105"/>
      <c r="N102" s="26"/>
      <c r="O102" s="26"/>
      <c r="P102" s="10"/>
    </row>
    <row r="103" spans="1:16" x14ac:dyDescent="0.3">
      <c r="A103" s="2">
        <v>45983</v>
      </c>
      <c r="B103" s="5">
        <v>1108</v>
      </c>
      <c r="C103" s="5" t="s">
        <v>131</v>
      </c>
      <c r="D103" s="5" t="s">
        <v>86</v>
      </c>
      <c r="E103" s="5" t="s">
        <v>17</v>
      </c>
      <c r="F103" s="6">
        <v>50</v>
      </c>
      <c r="G103" s="6">
        <v>284</v>
      </c>
      <c r="H103" s="6">
        <v>50</v>
      </c>
      <c r="I103" s="6">
        <f t="shared" si="2"/>
        <v>14200</v>
      </c>
      <c r="J103" s="6">
        <f t="shared" si="0"/>
        <v>2130</v>
      </c>
      <c r="K103" s="13">
        <f t="shared" si="1"/>
        <v>16330</v>
      </c>
      <c r="L103" s="17" t="s">
        <v>25</v>
      </c>
      <c r="M103" s="10"/>
      <c r="N103" s="26"/>
      <c r="O103" s="26"/>
      <c r="P103" s="10"/>
    </row>
    <row r="104" spans="1:16" x14ac:dyDescent="0.3">
      <c r="A104" s="2">
        <v>45983</v>
      </c>
      <c r="B104" s="5">
        <v>1108</v>
      </c>
      <c r="C104" s="5" t="s">
        <v>131</v>
      </c>
      <c r="D104" s="5" t="s">
        <v>86</v>
      </c>
      <c r="E104" s="5" t="s">
        <v>43</v>
      </c>
      <c r="F104" s="6">
        <v>50</v>
      </c>
      <c r="G104" s="6">
        <v>165</v>
      </c>
      <c r="H104" s="6">
        <v>50</v>
      </c>
      <c r="I104" s="6">
        <f t="shared" si="2"/>
        <v>8250</v>
      </c>
      <c r="J104" s="6">
        <f t="shared" si="0"/>
        <v>1237.5</v>
      </c>
      <c r="K104" s="13">
        <f t="shared" si="1"/>
        <v>9487.5</v>
      </c>
      <c r="L104" s="17" t="s">
        <v>25</v>
      </c>
      <c r="N104" s="26"/>
      <c r="O104" s="26"/>
      <c r="P104" s="10" t="s">
        <v>114</v>
      </c>
    </row>
    <row r="105" spans="1:16" x14ac:dyDescent="0.3">
      <c r="A105" s="2">
        <v>45983</v>
      </c>
      <c r="B105" s="5">
        <v>1108</v>
      </c>
      <c r="C105" s="5" t="s">
        <v>131</v>
      </c>
      <c r="D105" s="5" t="s">
        <v>86</v>
      </c>
      <c r="E105" s="5" t="s">
        <v>11</v>
      </c>
      <c r="F105" s="6">
        <v>50</v>
      </c>
      <c r="G105" s="6">
        <v>165</v>
      </c>
      <c r="H105" s="6">
        <v>50</v>
      </c>
      <c r="I105" s="6">
        <f t="shared" si="2"/>
        <v>8250</v>
      </c>
      <c r="J105" s="6">
        <f t="shared" si="0"/>
        <v>1237.5</v>
      </c>
      <c r="K105" s="13">
        <f t="shared" si="1"/>
        <v>9487.5</v>
      </c>
      <c r="L105" s="17" t="s">
        <v>25</v>
      </c>
      <c r="N105" s="26"/>
      <c r="O105" s="26"/>
      <c r="P105" s="10" t="s">
        <v>114</v>
      </c>
    </row>
    <row r="106" spans="1:16" x14ac:dyDescent="0.3">
      <c r="A106" s="2">
        <v>45983</v>
      </c>
      <c r="B106" s="5">
        <v>1108</v>
      </c>
      <c r="C106" s="5" t="s">
        <v>131</v>
      </c>
      <c r="D106" s="5" t="s">
        <v>86</v>
      </c>
      <c r="E106" s="5" t="s">
        <v>46</v>
      </c>
      <c r="F106" s="6">
        <v>10</v>
      </c>
      <c r="G106" s="6">
        <v>24.5</v>
      </c>
      <c r="H106" s="6">
        <v>319.72000000000003</v>
      </c>
      <c r="I106" s="6">
        <f t="shared" si="2"/>
        <v>7833.14</v>
      </c>
      <c r="J106" s="6">
        <f t="shared" si="0"/>
        <v>1174.971</v>
      </c>
      <c r="K106" s="13">
        <f t="shared" si="1"/>
        <v>9008.1110000000008</v>
      </c>
      <c r="L106" s="17" t="s">
        <v>25</v>
      </c>
      <c r="N106" s="26"/>
      <c r="O106" s="26"/>
      <c r="P106" s="10" t="s">
        <v>114</v>
      </c>
    </row>
    <row r="107" spans="1:16" x14ac:dyDescent="0.3">
      <c r="A107" s="2">
        <v>45983</v>
      </c>
      <c r="B107" s="5">
        <v>1108</v>
      </c>
      <c r="C107" s="5" t="s">
        <v>131</v>
      </c>
      <c r="D107" s="5" t="s">
        <v>86</v>
      </c>
      <c r="E107" s="5" t="s">
        <v>18</v>
      </c>
      <c r="F107" s="6">
        <v>5</v>
      </c>
      <c r="G107" s="6">
        <v>335</v>
      </c>
      <c r="H107" s="6">
        <v>5</v>
      </c>
      <c r="I107" s="6">
        <f t="shared" si="2"/>
        <v>1675</v>
      </c>
      <c r="J107" s="6">
        <f t="shared" si="0"/>
        <v>251.25</v>
      </c>
      <c r="K107" s="13">
        <f t="shared" si="1"/>
        <v>1926.25</v>
      </c>
      <c r="L107" s="17" t="s">
        <v>25</v>
      </c>
      <c r="N107" s="26"/>
      <c r="O107" s="26"/>
      <c r="P107" s="10" t="s">
        <v>114</v>
      </c>
    </row>
    <row r="108" spans="1:16" x14ac:dyDescent="0.3">
      <c r="A108" s="47">
        <v>45983</v>
      </c>
      <c r="B108" s="48">
        <v>1111</v>
      </c>
      <c r="C108" s="48" t="s">
        <v>131</v>
      </c>
      <c r="D108" s="48" t="s">
        <v>86</v>
      </c>
      <c r="E108" s="48" t="s">
        <v>46</v>
      </c>
      <c r="F108" s="49">
        <v>-100</v>
      </c>
      <c r="G108" s="49">
        <v>24.5</v>
      </c>
      <c r="H108" s="49">
        <v>-100</v>
      </c>
      <c r="I108" s="49">
        <f t="shared" si="2"/>
        <v>-2450</v>
      </c>
      <c r="J108" s="49">
        <f t="shared" si="0"/>
        <v>-367.5</v>
      </c>
      <c r="K108" s="51">
        <f t="shared" si="1"/>
        <v>-2817.5</v>
      </c>
      <c r="L108" s="46" t="s">
        <v>112</v>
      </c>
      <c r="N108" s="26"/>
      <c r="O108" s="26"/>
      <c r="P108" s="10" t="s">
        <v>114</v>
      </c>
    </row>
    <row r="109" spans="1:16" x14ac:dyDescent="0.3">
      <c r="A109" s="2">
        <v>45983</v>
      </c>
      <c r="B109" s="5">
        <v>1109</v>
      </c>
      <c r="C109" s="5" t="s">
        <v>131</v>
      </c>
      <c r="D109" s="5" t="s">
        <v>113</v>
      </c>
      <c r="E109" s="5" t="s">
        <v>11</v>
      </c>
      <c r="F109" s="6">
        <v>50</v>
      </c>
      <c r="G109" s="6">
        <v>167</v>
      </c>
      <c r="H109" s="6">
        <v>50</v>
      </c>
      <c r="I109" s="6">
        <f t="shared" si="2"/>
        <v>8350</v>
      </c>
      <c r="J109" s="6">
        <f t="shared" si="0"/>
        <v>1252.5</v>
      </c>
      <c r="K109" s="13">
        <f t="shared" si="1"/>
        <v>9602.5</v>
      </c>
      <c r="L109" s="68" t="s">
        <v>25</v>
      </c>
      <c r="M109" s="69"/>
      <c r="N109" s="26"/>
      <c r="O109" s="26"/>
      <c r="P109" s="10" t="s">
        <v>114</v>
      </c>
    </row>
    <row r="110" spans="1:16" x14ac:dyDescent="0.3">
      <c r="A110" s="2">
        <v>45983</v>
      </c>
      <c r="B110" s="5">
        <v>1109</v>
      </c>
      <c r="C110" s="5" t="s">
        <v>131</v>
      </c>
      <c r="D110" s="5" t="s">
        <v>113</v>
      </c>
      <c r="E110" s="5" t="s">
        <v>97</v>
      </c>
      <c r="F110" s="6">
        <v>10</v>
      </c>
      <c r="G110" s="6">
        <v>412</v>
      </c>
      <c r="H110" s="6">
        <v>10</v>
      </c>
      <c r="I110" s="6">
        <f t="shared" si="2"/>
        <v>4120</v>
      </c>
      <c r="J110" s="6">
        <f t="shared" si="0"/>
        <v>618</v>
      </c>
      <c r="K110" s="13">
        <f t="shared" si="1"/>
        <v>4738</v>
      </c>
      <c r="L110" s="68" t="s">
        <v>25</v>
      </c>
      <c r="M110" s="102"/>
      <c r="N110" s="26"/>
      <c r="O110" s="26"/>
      <c r="P110" s="10"/>
    </row>
    <row r="111" spans="1:16" x14ac:dyDescent="0.3">
      <c r="A111" s="2">
        <v>45983</v>
      </c>
      <c r="B111" s="5">
        <v>1110</v>
      </c>
      <c r="C111" s="5" t="s">
        <v>131</v>
      </c>
      <c r="D111" s="5" t="s">
        <v>96</v>
      </c>
      <c r="E111" s="5" t="s">
        <v>46</v>
      </c>
      <c r="F111" s="6">
        <v>10</v>
      </c>
      <c r="G111" s="6">
        <v>24.5</v>
      </c>
      <c r="H111" s="6">
        <v>212.29</v>
      </c>
      <c r="I111" s="6">
        <f t="shared" si="2"/>
        <v>5201.1049999999996</v>
      </c>
      <c r="J111" s="6">
        <f t="shared" si="0"/>
        <v>780.16574999999989</v>
      </c>
      <c r="K111" s="27">
        <f t="shared" si="1"/>
        <v>5981.2707499999997</v>
      </c>
      <c r="L111" s="91" t="s">
        <v>25</v>
      </c>
      <c r="N111" s="26"/>
      <c r="O111" s="26"/>
      <c r="P111" s="10" t="s">
        <v>114</v>
      </c>
    </row>
    <row r="112" spans="1:16" x14ac:dyDescent="0.3">
      <c r="A112" s="2">
        <v>45984</v>
      </c>
      <c r="B112" s="5">
        <v>1112</v>
      </c>
      <c r="C112" s="5" t="s">
        <v>130</v>
      </c>
      <c r="D112" s="1" t="s">
        <v>30</v>
      </c>
      <c r="E112" s="5" t="s">
        <v>95</v>
      </c>
      <c r="F112" s="6">
        <v>25</v>
      </c>
      <c r="G112" s="6">
        <v>423</v>
      </c>
      <c r="H112" s="6">
        <v>25</v>
      </c>
      <c r="I112" s="6">
        <f t="shared" si="2"/>
        <v>10575</v>
      </c>
      <c r="J112" s="6">
        <f t="shared" si="0"/>
        <v>1586.25</v>
      </c>
      <c r="K112" s="93">
        <f t="shared" si="1"/>
        <v>12161.25</v>
      </c>
      <c r="L112" s="103" t="s">
        <v>25</v>
      </c>
      <c r="M112" s="94"/>
      <c r="N112" s="26"/>
      <c r="O112" s="26"/>
      <c r="P112" s="10" t="s">
        <v>114</v>
      </c>
    </row>
    <row r="113" spans="1:16" x14ac:dyDescent="0.3">
      <c r="A113" s="2">
        <v>45984</v>
      </c>
      <c r="B113" s="143">
        <v>1113</v>
      </c>
      <c r="C113" s="5" t="s">
        <v>131</v>
      </c>
      <c r="D113" s="5" t="s">
        <v>115</v>
      </c>
      <c r="E113" s="5" t="s">
        <v>46</v>
      </c>
      <c r="F113" s="6">
        <v>51</v>
      </c>
      <c r="G113" s="6">
        <v>24.5</v>
      </c>
      <c r="H113" s="6">
        <v>1032.54</v>
      </c>
      <c r="I113" s="6">
        <f t="shared" si="2"/>
        <v>25297.23</v>
      </c>
      <c r="J113" s="6">
        <f t="shared" si="0"/>
        <v>3794.5844999999999</v>
      </c>
      <c r="K113" s="101">
        <f t="shared" si="1"/>
        <v>29091.8145</v>
      </c>
      <c r="L113" s="68" t="s">
        <v>25</v>
      </c>
      <c r="M113" s="102"/>
      <c r="N113" s="26"/>
      <c r="O113" s="26"/>
      <c r="P113" s="10"/>
    </row>
    <row r="114" spans="1:16" x14ac:dyDescent="0.3">
      <c r="A114" s="2">
        <v>45985</v>
      </c>
      <c r="B114" s="5">
        <v>1114</v>
      </c>
      <c r="C114" s="5" t="s">
        <v>131</v>
      </c>
      <c r="D114" s="5" t="s">
        <v>102</v>
      </c>
      <c r="E114" s="5" t="s">
        <v>43</v>
      </c>
      <c r="F114" s="6">
        <v>300</v>
      </c>
      <c r="G114" s="6">
        <v>164</v>
      </c>
      <c r="H114" s="6">
        <v>300</v>
      </c>
      <c r="I114" s="6">
        <f t="shared" si="2"/>
        <v>49200</v>
      </c>
      <c r="J114" s="6">
        <f t="shared" si="0"/>
        <v>7380</v>
      </c>
      <c r="K114" s="13">
        <f t="shared" si="1"/>
        <v>56580</v>
      </c>
      <c r="L114" s="91" t="s">
        <v>25</v>
      </c>
      <c r="N114" s="26"/>
      <c r="O114" s="26"/>
      <c r="P114" s="10" t="s">
        <v>114</v>
      </c>
    </row>
    <row r="115" spans="1:16" x14ac:dyDescent="0.3">
      <c r="A115" s="2">
        <v>45985</v>
      </c>
      <c r="B115" s="5">
        <v>1114</v>
      </c>
      <c r="C115" s="5" t="s">
        <v>131</v>
      </c>
      <c r="D115" s="5" t="s">
        <v>102</v>
      </c>
      <c r="E115" s="5" t="s">
        <v>11</v>
      </c>
      <c r="F115" s="6">
        <v>200</v>
      </c>
      <c r="G115" s="6">
        <v>165</v>
      </c>
      <c r="H115" s="6">
        <v>200</v>
      </c>
      <c r="I115" s="6">
        <f t="shared" si="2"/>
        <v>33000</v>
      </c>
      <c r="J115" s="6">
        <f t="shared" si="0"/>
        <v>4950</v>
      </c>
      <c r="K115" s="13">
        <f t="shared" si="1"/>
        <v>37950</v>
      </c>
      <c r="L115" s="91" t="s">
        <v>25</v>
      </c>
      <c r="N115" s="26"/>
      <c r="O115" s="26"/>
      <c r="P115" s="10" t="s">
        <v>114</v>
      </c>
    </row>
    <row r="116" spans="1:16" x14ac:dyDescent="0.3">
      <c r="A116" s="2">
        <v>45985</v>
      </c>
      <c r="B116" s="5">
        <v>1115</v>
      </c>
      <c r="C116" s="5" t="s">
        <v>130</v>
      </c>
      <c r="D116" s="5" t="s">
        <v>110</v>
      </c>
      <c r="E116" s="5" t="s">
        <v>43</v>
      </c>
      <c r="F116" s="6">
        <v>20</v>
      </c>
      <c r="G116" s="6">
        <v>165</v>
      </c>
      <c r="H116" s="6">
        <v>20</v>
      </c>
      <c r="I116" s="6">
        <f t="shared" si="2"/>
        <v>3300</v>
      </c>
      <c r="J116" s="6">
        <f t="shared" si="0"/>
        <v>495</v>
      </c>
      <c r="K116" s="13">
        <f t="shared" si="1"/>
        <v>3795</v>
      </c>
      <c r="L116" s="17" t="s">
        <v>25</v>
      </c>
      <c r="N116" s="26"/>
      <c r="O116" s="26"/>
      <c r="P116" s="10" t="s">
        <v>114</v>
      </c>
    </row>
    <row r="117" spans="1:16" x14ac:dyDescent="0.3">
      <c r="A117" s="2">
        <v>45985</v>
      </c>
      <c r="B117" s="5">
        <v>1115</v>
      </c>
      <c r="C117" s="5" t="s">
        <v>130</v>
      </c>
      <c r="D117" s="5" t="s">
        <v>110</v>
      </c>
      <c r="E117" s="5" t="s">
        <v>17</v>
      </c>
      <c r="F117" s="6">
        <v>20</v>
      </c>
      <c r="G117" s="6">
        <v>285</v>
      </c>
      <c r="H117" s="6">
        <v>20</v>
      </c>
      <c r="I117" s="6">
        <f t="shared" si="2"/>
        <v>5700</v>
      </c>
      <c r="J117" s="6">
        <f t="shared" si="0"/>
        <v>855</v>
      </c>
      <c r="K117" s="13">
        <f t="shared" si="1"/>
        <v>6555</v>
      </c>
      <c r="L117" s="17" t="s">
        <v>25</v>
      </c>
      <c r="N117" s="26"/>
      <c r="O117" s="26"/>
      <c r="P117" s="10" t="s">
        <v>114</v>
      </c>
    </row>
    <row r="118" spans="1:16" x14ac:dyDescent="0.3">
      <c r="A118" s="2">
        <v>45985</v>
      </c>
      <c r="B118" s="5">
        <v>1116</v>
      </c>
      <c r="C118" s="5" t="s">
        <v>130</v>
      </c>
      <c r="D118" s="5" t="s">
        <v>89</v>
      </c>
      <c r="E118" s="5" t="s">
        <v>116</v>
      </c>
      <c r="F118" s="6">
        <v>5</v>
      </c>
      <c r="G118" s="6">
        <v>285</v>
      </c>
      <c r="H118" s="6">
        <v>5</v>
      </c>
      <c r="I118" s="6">
        <f t="shared" si="2"/>
        <v>1425</v>
      </c>
      <c r="J118" s="6">
        <f t="shared" si="0"/>
        <v>213.75</v>
      </c>
      <c r="K118" s="27">
        <f t="shared" si="1"/>
        <v>1638.75</v>
      </c>
      <c r="L118" s="91" t="s">
        <v>25</v>
      </c>
      <c r="M118" s="95"/>
      <c r="N118" s="26"/>
      <c r="O118" s="26"/>
      <c r="P118" s="10" t="s">
        <v>114</v>
      </c>
    </row>
    <row r="119" spans="1:16" x14ac:dyDescent="0.3">
      <c r="A119" s="2">
        <v>45985</v>
      </c>
      <c r="B119" s="5">
        <v>1117</v>
      </c>
      <c r="C119" s="5" t="s">
        <v>130</v>
      </c>
      <c r="D119" s="5" t="s">
        <v>88</v>
      </c>
      <c r="E119" s="5" t="s">
        <v>11</v>
      </c>
      <c r="F119" s="6">
        <v>50</v>
      </c>
      <c r="G119" s="6">
        <v>167</v>
      </c>
      <c r="H119" s="6">
        <v>50</v>
      </c>
      <c r="I119" s="6">
        <f t="shared" si="2"/>
        <v>8350</v>
      </c>
      <c r="J119" s="6">
        <f t="shared" si="0"/>
        <v>1252.5</v>
      </c>
      <c r="K119" s="63">
        <f t="shared" si="1"/>
        <v>9602.5</v>
      </c>
      <c r="L119" s="63" t="s">
        <v>25</v>
      </c>
      <c r="M119" s="19"/>
      <c r="N119" s="26"/>
      <c r="O119" s="26"/>
      <c r="P119" s="10" t="s">
        <v>114</v>
      </c>
    </row>
    <row r="120" spans="1:16" x14ac:dyDescent="0.3">
      <c r="A120" s="2">
        <v>45985</v>
      </c>
      <c r="B120" s="5">
        <v>1118</v>
      </c>
      <c r="C120" s="5" t="s">
        <v>130</v>
      </c>
      <c r="D120" s="5" t="s">
        <v>117</v>
      </c>
      <c r="E120" s="5" t="s">
        <v>98</v>
      </c>
      <c r="F120" s="6">
        <v>14</v>
      </c>
      <c r="G120" s="6">
        <v>414</v>
      </c>
      <c r="H120" s="6">
        <v>14</v>
      </c>
      <c r="I120" s="6">
        <f t="shared" si="2"/>
        <v>5796</v>
      </c>
      <c r="J120" s="6">
        <f t="shared" si="0"/>
        <v>869.4</v>
      </c>
      <c r="K120" s="27">
        <f t="shared" si="1"/>
        <v>6665.4</v>
      </c>
      <c r="L120" s="91" t="s">
        <v>25</v>
      </c>
      <c r="M120" s="16"/>
      <c r="N120" s="26"/>
      <c r="O120" s="26"/>
      <c r="P120" s="10" t="s">
        <v>114</v>
      </c>
    </row>
    <row r="121" spans="1:16" x14ac:dyDescent="0.3">
      <c r="A121" s="110">
        <v>45985</v>
      </c>
      <c r="B121" s="5">
        <v>1119</v>
      </c>
      <c r="C121" s="5" t="s">
        <v>130</v>
      </c>
      <c r="D121" s="5" t="s">
        <v>22</v>
      </c>
      <c r="E121" s="5" t="s">
        <v>11</v>
      </c>
      <c r="F121" s="6">
        <v>20</v>
      </c>
      <c r="G121" s="6">
        <v>168</v>
      </c>
      <c r="H121" s="6">
        <v>20</v>
      </c>
      <c r="I121" s="6">
        <f t="shared" si="2"/>
        <v>3360</v>
      </c>
      <c r="J121" s="6">
        <f t="shared" si="0"/>
        <v>504</v>
      </c>
      <c r="K121" s="27">
        <f t="shared" si="1"/>
        <v>3864</v>
      </c>
      <c r="L121" s="91" t="s">
        <v>25</v>
      </c>
      <c r="M121" s="16"/>
      <c r="N121" s="26"/>
      <c r="O121" s="26"/>
      <c r="P121" s="10" t="s">
        <v>114</v>
      </c>
    </row>
    <row r="122" spans="1:16" x14ac:dyDescent="0.3">
      <c r="A122" s="2">
        <v>45986</v>
      </c>
      <c r="B122" s="5">
        <v>1120</v>
      </c>
      <c r="C122" s="5" t="s">
        <v>130</v>
      </c>
      <c r="D122" s="5" t="s">
        <v>72</v>
      </c>
      <c r="E122" s="5" t="s">
        <v>46</v>
      </c>
      <c r="F122" s="6">
        <v>10</v>
      </c>
      <c r="G122" s="6">
        <v>24.5</v>
      </c>
      <c r="H122" s="6">
        <v>213.36</v>
      </c>
      <c r="I122" s="6">
        <f t="shared" si="2"/>
        <v>5227.3200000000006</v>
      </c>
      <c r="J122" s="6">
        <f t="shared" si="0"/>
        <v>784.09800000000007</v>
      </c>
      <c r="K122" s="27">
        <f t="shared" si="1"/>
        <v>6011.4180000000006</v>
      </c>
      <c r="L122" s="91" t="s">
        <v>25</v>
      </c>
      <c r="M122" s="16"/>
      <c r="N122" s="26"/>
      <c r="O122" s="26"/>
      <c r="P122" s="10" t="s">
        <v>114</v>
      </c>
    </row>
    <row r="123" spans="1:16" x14ac:dyDescent="0.3">
      <c r="A123" s="2">
        <v>45986</v>
      </c>
      <c r="B123" s="5">
        <v>1121</v>
      </c>
      <c r="C123" s="5" t="s">
        <v>130</v>
      </c>
      <c r="D123" s="5" t="s">
        <v>76</v>
      </c>
      <c r="E123" s="5" t="s">
        <v>111</v>
      </c>
      <c r="F123" s="6">
        <v>100</v>
      </c>
      <c r="G123" s="6">
        <v>44</v>
      </c>
      <c r="H123" s="6">
        <v>100</v>
      </c>
      <c r="I123" s="6">
        <f t="shared" si="2"/>
        <v>4400</v>
      </c>
      <c r="J123" s="6">
        <f t="shared" si="0"/>
        <v>660</v>
      </c>
      <c r="K123" s="27">
        <f t="shared" si="1"/>
        <v>5060</v>
      </c>
      <c r="L123" s="91" t="s">
        <v>25</v>
      </c>
      <c r="M123" s="16"/>
      <c r="N123" s="26"/>
      <c r="O123" s="26"/>
      <c r="P123" s="10" t="s">
        <v>114</v>
      </c>
    </row>
    <row r="124" spans="1:16" x14ac:dyDescent="0.3">
      <c r="A124" s="2">
        <v>45986</v>
      </c>
      <c r="B124" s="5">
        <v>1122</v>
      </c>
      <c r="C124" s="5" t="s">
        <v>130</v>
      </c>
      <c r="D124" s="5" t="s">
        <v>82</v>
      </c>
      <c r="E124" s="5" t="s">
        <v>17</v>
      </c>
      <c r="F124" s="6">
        <v>30</v>
      </c>
      <c r="G124" s="6">
        <v>285</v>
      </c>
      <c r="H124" s="6">
        <v>30</v>
      </c>
      <c r="I124" s="6">
        <f t="shared" si="2"/>
        <v>8550</v>
      </c>
      <c r="J124" s="6">
        <f t="shared" si="0"/>
        <v>1282.5</v>
      </c>
      <c r="K124" s="27">
        <f t="shared" si="1"/>
        <v>9832.5</v>
      </c>
      <c r="L124" s="91" t="s">
        <v>25</v>
      </c>
      <c r="M124" s="16"/>
      <c r="N124" s="26"/>
      <c r="O124" s="26"/>
      <c r="P124" s="10" t="s">
        <v>114</v>
      </c>
    </row>
    <row r="125" spans="1:16" x14ac:dyDescent="0.3">
      <c r="A125" s="2">
        <v>45986</v>
      </c>
      <c r="B125" s="5">
        <v>1123</v>
      </c>
      <c r="C125" s="5" t="s">
        <v>131</v>
      </c>
      <c r="D125" s="5" t="s">
        <v>96</v>
      </c>
      <c r="E125" s="5" t="s">
        <v>18</v>
      </c>
      <c r="F125" s="6">
        <v>50</v>
      </c>
      <c r="G125" s="6">
        <v>335</v>
      </c>
      <c r="H125" s="6">
        <v>50</v>
      </c>
      <c r="I125" s="6">
        <f t="shared" si="2"/>
        <v>16750</v>
      </c>
      <c r="J125" s="6">
        <f t="shared" si="0"/>
        <v>2512.5</v>
      </c>
      <c r="K125" s="118">
        <f t="shared" si="1"/>
        <v>19262.5</v>
      </c>
      <c r="L125" s="72" t="s">
        <v>25</v>
      </c>
      <c r="M125" s="10"/>
      <c r="N125" s="26"/>
      <c r="O125" s="26"/>
      <c r="P125" s="10"/>
    </row>
    <row r="126" spans="1:16" x14ac:dyDescent="0.3">
      <c r="A126" s="2">
        <v>45986</v>
      </c>
      <c r="B126" s="5">
        <v>1123</v>
      </c>
      <c r="C126" s="5" t="s">
        <v>131</v>
      </c>
      <c r="D126" s="5" t="s">
        <v>96</v>
      </c>
      <c r="E126" s="5" t="s">
        <v>97</v>
      </c>
      <c r="F126" s="6">
        <v>20</v>
      </c>
      <c r="G126" s="6">
        <v>412</v>
      </c>
      <c r="H126" s="6">
        <v>20</v>
      </c>
      <c r="I126" s="6">
        <f t="shared" si="2"/>
        <v>8240</v>
      </c>
      <c r="J126" s="6">
        <f t="shared" si="0"/>
        <v>1236</v>
      </c>
      <c r="K126" s="118">
        <f t="shared" si="1"/>
        <v>9476</v>
      </c>
      <c r="L126" s="72" t="s">
        <v>25</v>
      </c>
      <c r="N126" s="26"/>
      <c r="O126" s="26"/>
      <c r="P126" s="10"/>
    </row>
    <row r="127" spans="1:16" x14ac:dyDescent="0.3">
      <c r="A127" s="2">
        <v>45988</v>
      </c>
      <c r="B127" s="143">
        <v>1124</v>
      </c>
      <c r="C127" s="5" t="s">
        <v>130</v>
      </c>
      <c r="D127" s="5" t="s">
        <v>122</v>
      </c>
      <c r="E127" s="5" t="s">
        <v>46</v>
      </c>
      <c r="F127" s="6">
        <v>10</v>
      </c>
      <c r="G127" s="6">
        <v>24.5</v>
      </c>
      <c r="H127" s="6">
        <v>235.62</v>
      </c>
      <c r="I127" s="6">
        <f t="shared" si="2"/>
        <v>5772.6900000000005</v>
      </c>
      <c r="J127" s="6">
        <f t="shared" si="0"/>
        <v>865.90350000000001</v>
      </c>
      <c r="K127" s="114">
        <f t="shared" si="1"/>
        <v>6638.5935000000009</v>
      </c>
      <c r="L127" s="112" t="s">
        <v>25</v>
      </c>
      <c r="M127" s="113"/>
      <c r="N127" s="26"/>
      <c r="O127" s="26"/>
      <c r="P127" s="10"/>
    </row>
    <row r="128" spans="1:16" x14ac:dyDescent="0.3">
      <c r="A128" s="2">
        <v>45988</v>
      </c>
      <c r="B128" s="143">
        <v>1125</v>
      </c>
      <c r="C128" s="5" t="s">
        <v>130</v>
      </c>
      <c r="D128" s="5" t="s">
        <v>122</v>
      </c>
      <c r="E128" s="5" t="s">
        <v>46</v>
      </c>
      <c r="F128" s="6">
        <v>10</v>
      </c>
      <c r="G128" s="6">
        <v>24.5</v>
      </c>
      <c r="H128" s="6">
        <v>216.37</v>
      </c>
      <c r="I128" s="6">
        <f t="shared" si="2"/>
        <v>5301.0650000000005</v>
      </c>
      <c r="J128" s="6">
        <f t="shared" si="0"/>
        <v>795.15975000000003</v>
      </c>
      <c r="K128" s="114">
        <f t="shared" si="1"/>
        <v>6096.2247500000003</v>
      </c>
      <c r="L128" s="112" t="s">
        <v>25</v>
      </c>
      <c r="M128" s="113"/>
      <c r="N128" s="26"/>
      <c r="O128" s="26"/>
      <c r="P128" s="10"/>
    </row>
    <row r="129" spans="1:16" x14ac:dyDescent="0.3">
      <c r="A129" s="2">
        <v>45988</v>
      </c>
      <c r="B129" s="5">
        <v>1126</v>
      </c>
      <c r="C129" s="5" t="s">
        <v>130</v>
      </c>
      <c r="D129" s="5" t="s">
        <v>123</v>
      </c>
      <c r="E129" s="5" t="s">
        <v>124</v>
      </c>
      <c r="F129" s="6">
        <v>10</v>
      </c>
      <c r="G129" s="6">
        <v>729</v>
      </c>
      <c r="H129" s="6">
        <v>10</v>
      </c>
      <c r="I129" s="6">
        <f t="shared" si="2"/>
        <v>7290</v>
      </c>
      <c r="J129" s="6">
        <f t="shared" si="0"/>
        <v>1093.5</v>
      </c>
      <c r="K129" s="27">
        <f t="shared" si="1"/>
        <v>8383.5</v>
      </c>
      <c r="L129" s="91" t="s">
        <v>25</v>
      </c>
      <c r="M129" s="16"/>
      <c r="N129" s="26"/>
      <c r="O129" s="26"/>
      <c r="P129" s="10"/>
    </row>
    <row r="130" spans="1:16" x14ac:dyDescent="0.3">
      <c r="A130" s="2">
        <v>45988</v>
      </c>
      <c r="B130" s="5">
        <v>1127</v>
      </c>
      <c r="C130" s="5" t="s">
        <v>130</v>
      </c>
      <c r="D130" s="5" t="s">
        <v>89</v>
      </c>
      <c r="E130" s="5" t="s">
        <v>17</v>
      </c>
      <c r="F130" s="6">
        <v>10</v>
      </c>
      <c r="G130" s="6">
        <v>287</v>
      </c>
      <c r="H130" s="6">
        <v>10</v>
      </c>
      <c r="I130" s="6">
        <f t="shared" si="2"/>
        <v>2870</v>
      </c>
      <c r="J130" s="6">
        <f t="shared" si="0"/>
        <v>430.5</v>
      </c>
      <c r="K130" s="104">
        <f t="shared" si="1"/>
        <v>3300.5</v>
      </c>
      <c r="L130" s="63" t="s">
        <v>25</v>
      </c>
      <c r="M130" s="19"/>
      <c r="N130" s="26"/>
      <c r="O130" s="26"/>
      <c r="P130" s="10"/>
    </row>
    <row r="131" spans="1:16" x14ac:dyDescent="0.3">
      <c r="A131" s="2">
        <v>45988</v>
      </c>
      <c r="B131" s="5">
        <v>1128</v>
      </c>
      <c r="C131" s="5" t="s">
        <v>130</v>
      </c>
      <c r="D131" s="5" t="s">
        <v>32</v>
      </c>
      <c r="E131" s="5" t="s">
        <v>98</v>
      </c>
      <c r="F131" s="6">
        <v>50</v>
      </c>
      <c r="G131" s="6">
        <v>415</v>
      </c>
      <c r="H131" s="6">
        <v>50</v>
      </c>
      <c r="I131" s="6">
        <f t="shared" si="2"/>
        <v>20750</v>
      </c>
      <c r="J131" s="6">
        <f t="shared" si="0"/>
        <v>3112.5</v>
      </c>
      <c r="K131" s="27">
        <f t="shared" si="1"/>
        <v>23862.5</v>
      </c>
      <c r="L131" s="91" t="s">
        <v>25</v>
      </c>
      <c r="M131" s="16"/>
      <c r="N131" s="26"/>
      <c r="O131" s="26"/>
      <c r="P131" s="10"/>
    </row>
    <row r="132" spans="1:16" x14ac:dyDescent="0.3">
      <c r="A132" s="2">
        <v>45988</v>
      </c>
      <c r="B132" s="5">
        <v>1128</v>
      </c>
      <c r="C132" s="5" t="s">
        <v>130</v>
      </c>
      <c r="D132" s="5" t="s">
        <v>32</v>
      </c>
      <c r="E132" s="5" t="s">
        <v>11</v>
      </c>
      <c r="F132" s="6">
        <v>50</v>
      </c>
      <c r="G132" s="6">
        <v>166</v>
      </c>
      <c r="H132" s="6">
        <v>50</v>
      </c>
      <c r="I132" s="6">
        <f t="shared" si="2"/>
        <v>8300</v>
      </c>
      <c r="J132" s="6">
        <f t="shared" si="0"/>
        <v>1245</v>
      </c>
      <c r="K132" s="27">
        <f t="shared" si="1"/>
        <v>9545</v>
      </c>
      <c r="L132" s="91" t="s">
        <v>25</v>
      </c>
      <c r="M132" s="16"/>
      <c r="N132" s="26"/>
      <c r="O132" s="26"/>
      <c r="P132" s="10"/>
    </row>
    <row r="133" spans="1:16" x14ac:dyDescent="0.3">
      <c r="A133" s="2">
        <v>45988</v>
      </c>
      <c r="B133" s="5">
        <v>1129</v>
      </c>
      <c r="C133" s="5" t="s">
        <v>130</v>
      </c>
      <c r="D133" s="5" t="s">
        <v>82</v>
      </c>
      <c r="E133" s="5" t="s">
        <v>11</v>
      </c>
      <c r="F133" s="6">
        <v>60</v>
      </c>
      <c r="G133" s="6">
        <v>166</v>
      </c>
      <c r="H133" s="6">
        <v>60</v>
      </c>
      <c r="I133" s="6">
        <f t="shared" si="2"/>
        <v>9960</v>
      </c>
      <c r="J133" s="6">
        <f t="shared" si="0"/>
        <v>1494</v>
      </c>
      <c r="K133" s="27">
        <f t="shared" si="1"/>
        <v>11454</v>
      </c>
      <c r="L133" s="91" t="s">
        <v>25</v>
      </c>
      <c r="M133" s="16"/>
      <c r="N133" s="26"/>
      <c r="O133" s="26"/>
      <c r="P133" s="10"/>
    </row>
    <row r="134" spans="1:16" x14ac:dyDescent="0.3">
      <c r="A134" s="2">
        <v>45988</v>
      </c>
      <c r="B134" s="5">
        <v>1130</v>
      </c>
      <c r="C134" s="5" t="s">
        <v>130</v>
      </c>
      <c r="D134" s="1" t="s">
        <v>30</v>
      </c>
      <c r="E134" s="5" t="s">
        <v>111</v>
      </c>
      <c r="F134" s="6">
        <v>50</v>
      </c>
      <c r="G134" s="6">
        <v>44</v>
      </c>
      <c r="H134" s="6">
        <v>50</v>
      </c>
      <c r="I134" s="6">
        <f t="shared" si="2"/>
        <v>2200</v>
      </c>
      <c r="J134" s="6">
        <f t="shared" si="0"/>
        <v>330</v>
      </c>
      <c r="K134" s="104">
        <f t="shared" si="1"/>
        <v>2530</v>
      </c>
      <c r="L134" s="63" t="s">
        <v>25</v>
      </c>
      <c r="M134" s="19"/>
      <c r="N134" s="26"/>
      <c r="O134" s="26"/>
      <c r="P134" s="10"/>
    </row>
    <row r="135" spans="1:16" x14ac:dyDescent="0.3">
      <c r="A135" s="2">
        <v>45990</v>
      </c>
      <c r="B135" s="5">
        <v>1131</v>
      </c>
      <c r="C135" s="5" t="s">
        <v>130</v>
      </c>
      <c r="D135" s="5" t="s">
        <v>117</v>
      </c>
      <c r="E135" s="5" t="s">
        <v>43</v>
      </c>
      <c r="F135" s="6">
        <v>3</v>
      </c>
      <c r="G135" s="6">
        <v>165</v>
      </c>
      <c r="H135" s="6">
        <v>3</v>
      </c>
      <c r="I135" s="6">
        <f t="shared" si="2"/>
        <v>495</v>
      </c>
      <c r="J135" s="6">
        <f t="shared" si="0"/>
        <v>74.25</v>
      </c>
      <c r="K135" s="27">
        <f t="shared" si="1"/>
        <v>569.25</v>
      </c>
      <c r="L135" s="91" t="s">
        <v>25</v>
      </c>
      <c r="M135" s="16"/>
      <c r="N135" s="26"/>
      <c r="O135" s="26"/>
      <c r="P135" s="10"/>
    </row>
    <row r="136" spans="1:16" x14ac:dyDescent="0.3">
      <c r="A136" s="2">
        <v>45990</v>
      </c>
      <c r="B136" s="5">
        <v>1131</v>
      </c>
      <c r="C136" s="5" t="s">
        <v>130</v>
      </c>
      <c r="D136" s="5" t="s">
        <v>117</v>
      </c>
      <c r="E136" s="5" t="s">
        <v>98</v>
      </c>
      <c r="F136" s="6">
        <v>10</v>
      </c>
      <c r="G136" s="6">
        <v>415</v>
      </c>
      <c r="H136" s="6">
        <v>10</v>
      </c>
      <c r="I136" s="6">
        <f t="shared" si="2"/>
        <v>4150</v>
      </c>
      <c r="J136" s="6">
        <f t="shared" si="0"/>
        <v>622.5</v>
      </c>
      <c r="K136" s="27">
        <f t="shared" si="1"/>
        <v>4772.5</v>
      </c>
      <c r="L136" s="91" t="s">
        <v>25</v>
      </c>
      <c r="M136" s="16"/>
      <c r="N136" s="26"/>
      <c r="O136" s="26"/>
      <c r="P136" s="10"/>
    </row>
    <row r="137" spans="1:16" x14ac:dyDescent="0.3">
      <c r="A137" s="2">
        <v>45990</v>
      </c>
      <c r="B137" s="5">
        <v>1132</v>
      </c>
      <c r="C137" s="5" t="s">
        <v>130</v>
      </c>
      <c r="D137" s="5" t="s">
        <v>122</v>
      </c>
      <c r="E137" s="5" t="s">
        <v>46</v>
      </c>
      <c r="F137" s="6">
        <v>6</v>
      </c>
      <c r="G137" s="6">
        <v>24.5</v>
      </c>
      <c r="H137" s="6">
        <v>142.61000000000001</v>
      </c>
      <c r="I137" s="6">
        <f t="shared" si="2"/>
        <v>3493.9450000000002</v>
      </c>
      <c r="J137" s="6">
        <f t="shared" si="0"/>
        <v>524.09175000000005</v>
      </c>
      <c r="K137" s="104">
        <f t="shared" si="1"/>
        <v>4018.0367500000002</v>
      </c>
      <c r="L137" s="63" t="s">
        <v>25</v>
      </c>
      <c r="M137" s="19"/>
      <c r="N137" s="26"/>
      <c r="O137" s="26"/>
      <c r="P137" s="10"/>
    </row>
    <row r="138" spans="1:16" x14ac:dyDescent="0.3">
      <c r="A138" s="2">
        <v>45990</v>
      </c>
      <c r="B138" s="5">
        <v>1133</v>
      </c>
      <c r="C138" s="5" t="s">
        <v>130</v>
      </c>
      <c r="D138" s="1" t="s">
        <v>127</v>
      </c>
      <c r="E138" s="5" t="s">
        <v>17</v>
      </c>
      <c r="F138" s="6">
        <v>30</v>
      </c>
      <c r="G138" s="6">
        <v>286</v>
      </c>
      <c r="H138" s="6">
        <v>30</v>
      </c>
      <c r="I138" s="6">
        <f t="shared" si="2"/>
        <v>8580</v>
      </c>
      <c r="J138" s="6">
        <f t="shared" si="0"/>
        <v>1287</v>
      </c>
      <c r="K138" s="104">
        <f t="shared" si="1"/>
        <v>9867</v>
      </c>
      <c r="L138" s="115" t="s">
        <v>25</v>
      </c>
      <c r="M138" s="19"/>
      <c r="N138" s="26"/>
      <c r="O138" s="26"/>
      <c r="P138" s="10"/>
    </row>
    <row r="139" spans="1:16" x14ac:dyDescent="0.3">
      <c r="A139" s="2">
        <v>45990</v>
      </c>
      <c r="B139" s="5">
        <v>1134</v>
      </c>
      <c r="C139" s="5" t="s">
        <v>130</v>
      </c>
      <c r="D139" s="5" t="s">
        <v>87</v>
      </c>
      <c r="E139" s="5" t="s">
        <v>95</v>
      </c>
      <c r="F139" s="6">
        <v>20</v>
      </c>
      <c r="G139" s="6">
        <v>425</v>
      </c>
      <c r="H139" s="6">
        <v>20</v>
      </c>
      <c r="I139" s="6">
        <f t="shared" si="2"/>
        <v>8500</v>
      </c>
      <c r="J139" s="6">
        <f t="shared" si="0"/>
        <v>1275</v>
      </c>
      <c r="K139" s="27">
        <f t="shared" si="1"/>
        <v>9775</v>
      </c>
      <c r="L139" s="91" t="s">
        <v>25</v>
      </c>
      <c r="M139" s="16"/>
      <c r="N139" s="26"/>
      <c r="O139" s="26"/>
      <c r="P139" s="10"/>
    </row>
    <row r="140" spans="1:16" x14ac:dyDescent="0.3">
      <c r="A140" s="2">
        <v>45990</v>
      </c>
      <c r="B140" s="5">
        <v>1135</v>
      </c>
      <c r="C140" s="5" t="s">
        <v>130</v>
      </c>
      <c r="D140" s="5" t="s">
        <v>32</v>
      </c>
      <c r="E140" s="5" t="s">
        <v>11</v>
      </c>
      <c r="F140" s="6">
        <v>100</v>
      </c>
      <c r="G140" s="6">
        <v>167</v>
      </c>
      <c r="H140" s="6">
        <v>100</v>
      </c>
      <c r="I140" s="6">
        <f t="shared" si="2"/>
        <v>16700</v>
      </c>
      <c r="J140" s="6">
        <f t="shared" si="0"/>
        <v>2505</v>
      </c>
      <c r="K140" s="27">
        <f t="shared" si="1"/>
        <v>19205</v>
      </c>
      <c r="L140" s="91" t="s">
        <v>25</v>
      </c>
      <c r="M140" s="95"/>
      <c r="N140" s="26"/>
      <c r="O140" s="26"/>
      <c r="P140" s="10"/>
    </row>
    <row r="141" spans="1:16" x14ac:dyDescent="0.3">
      <c r="A141" s="2">
        <v>45990</v>
      </c>
      <c r="B141" s="5">
        <v>1135</v>
      </c>
      <c r="C141" s="5" t="s">
        <v>130</v>
      </c>
      <c r="D141" s="5" t="s">
        <v>32</v>
      </c>
      <c r="E141" s="5" t="s">
        <v>97</v>
      </c>
      <c r="F141" s="6">
        <v>10</v>
      </c>
      <c r="G141" s="6">
        <v>414</v>
      </c>
      <c r="H141" s="6">
        <v>10</v>
      </c>
      <c r="I141" s="6">
        <f t="shared" si="2"/>
        <v>4140</v>
      </c>
      <c r="J141" s="6">
        <f t="shared" si="0"/>
        <v>621</v>
      </c>
      <c r="K141" s="27">
        <f t="shared" si="1"/>
        <v>4761</v>
      </c>
      <c r="L141" s="91" t="s">
        <v>25</v>
      </c>
      <c r="M141" s="95"/>
      <c r="N141" s="26"/>
      <c r="O141" s="26"/>
      <c r="P141" s="10"/>
    </row>
    <row r="142" spans="1:16" x14ac:dyDescent="0.3">
      <c r="A142" s="2">
        <v>45991</v>
      </c>
      <c r="B142" s="5">
        <v>1136</v>
      </c>
      <c r="C142" s="5" t="s">
        <v>130</v>
      </c>
      <c r="D142" s="5" t="s">
        <v>122</v>
      </c>
      <c r="E142" s="5" t="s">
        <v>46</v>
      </c>
      <c r="F142" s="6">
        <v>6</v>
      </c>
      <c r="G142" s="6">
        <v>24.5</v>
      </c>
      <c r="H142" s="6">
        <v>148.46</v>
      </c>
      <c r="I142" s="6">
        <f t="shared" si="2"/>
        <v>3637.27</v>
      </c>
      <c r="J142" s="6">
        <f t="shared" si="0"/>
        <v>545.59050000000002</v>
      </c>
      <c r="K142" s="27">
        <f t="shared" si="1"/>
        <v>4182.8604999999998</v>
      </c>
      <c r="L142" s="91" t="s">
        <v>25</v>
      </c>
      <c r="M142" s="16"/>
      <c r="N142" s="26"/>
      <c r="O142" s="26"/>
      <c r="P142" s="10"/>
    </row>
    <row r="143" spans="1:16" x14ac:dyDescent="0.3">
      <c r="A143" s="2">
        <v>45991</v>
      </c>
      <c r="B143" s="5">
        <v>1137</v>
      </c>
      <c r="C143" s="5" t="s">
        <v>130</v>
      </c>
      <c r="D143" s="5" t="s">
        <v>89</v>
      </c>
      <c r="E143" s="5" t="s">
        <v>17</v>
      </c>
      <c r="F143" s="6">
        <v>5</v>
      </c>
      <c r="G143" s="6">
        <v>287</v>
      </c>
      <c r="H143" s="6">
        <v>5</v>
      </c>
      <c r="I143" s="6">
        <f t="shared" si="2"/>
        <v>1435</v>
      </c>
      <c r="J143" s="6">
        <f t="shared" si="0"/>
        <v>215.25</v>
      </c>
      <c r="K143" s="114">
        <f t="shared" si="1"/>
        <v>1650.25</v>
      </c>
      <c r="L143" s="112" t="s">
        <v>25</v>
      </c>
      <c r="M143" s="113"/>
      <c r="N143" s="26"/>
      <c r="O143" s="26"/>
      <c r="P143" s="10"/>
    </row>
    <row r="144" spans="1:16" x14ac:dyDescent="0.3">
      <c r="A144" s="2">
        <v>45991</v>
      </c>
      <c r="B144" s="5">
        <v>1138</v>
      </c>
      <c r="C144" s="5" t="s">
        <v>130</v>
      </c>
      <c r="D144" s="5" t="s">
        <v>128</v>
      </c>
      <c r="E144" s="5" t="s">
        <v>95</v>
      </c>
      <c r="F144" s="6">
        <v>2</v>
      </c>
      <c r="G144" s="6">
        <v>430</v>
      </c>
      <c r="H144" s="6">
        <v>2</v>
      </c>
      <c r="I144" s="6">
        <f t="shared" si="2"/>
        <v>860</v>
      </c>
      <c r="J144" s="6">
        <f t="shared" si="0"/>
        <v>129</v>
      </c>
      <c r="K144" s="27">
        <f t="shared" si="1"/>
        <v>989</v>
      </c>
      <c r="L144" s="91" t="s">
        <v>25</v>
      </c>
      <c r="M144" s="16"/>
      <c r="N144" s="26"/>
      <c r="O144" s="26"/>
      <c r="P144" s="10"/>
    </row>
    <row r="145" spans="1:16" x14ac:dyDescent="0.3">
      <c r="A145" s="2">
        <v>45991</v>
      </c>
      <c r="B145" s="5">
        <v>1139</v>
      </c>
      <c r="C145" s="5" t="s">
        <v>130</v>
      </c>
      <c r="D145" s="5" t="s">
        <v>76</v>
      </c>
      <c r="E145" s="5" t="s">
        <v>111</v>
      </c>
      <c r="F145" s="6">
        <v>100</v>
      </c>
      <c r="G145" s="6">
        <v>44</v>
      </c>
      <c r="H145" s="6">
        <v>100</v>
      </c>
      <c r="I145" s="6">
        <f t="shared" si="2"/>
        <v>4400</v>
      </c>
      <c r="J145" s="6">
        <f t="shared" si="0"/>
        <v>660</v>
      </c>
      <c r="K145" s="27">
        <f t="shared" si="1"/>
        <v>5060</v>
      </c>
      <c r="L145" s="91" t="s">
        <v>25</v>
      </c>
      <c r="M145" s="16"/>
      <c r="N145" s="26"/>
      <c r="O145" s="26"/>
      <c r="P145" s="10"/>
    </row>
    <row r="146" spans="1:16" x14ac:dyDescent="0.3">
      <c r="A146" s="2">
        <v>45991</v>
      </c>
      <c r="B146" s="5">
        <v>1139</v>
      </c>
      <c r="C146" s="5" t="s">
        <v>130</v>
      </c>
      <c r="D146" s="5" t="s">
        <v>76</v>
      </c>
      <c r="E146" s="5" t="s">
        <v>11</v>
      </c>
      <c r="F146" s="6">
        <v>30</v>
      </c>
      <c r="G146" s="6">
        <v>167</v>
      </c>
      <c r="H146" s="6">
        <v>30</v>
      </c>
      <c r="I146" s="6">
        <f t="shared" si="2"/>
        <v>5010</v>
      </c>
      <c r="J146" s="6">
        <f t="shared" si="0"/>
        <v>751.5</v>
      </c>
      <c r="K146" s="27">
        <f t="shared" si="1"/>
        <v>5761.5</v>
      </c>
      <c r="L146" s="91" t="s">
        <v>25</v>
      </c>
      <c r="M146" s="16"/>
      <c r="N146" s="26"/>
      <c r="O146" s="26"/>
      <c r="P146" s="10"/>
    </row>
    <row r="147" spans="1:16" x14ac:dyDescent="0.3">
      <c r="A147" s="2">
        <v>45991</v>
      </c>
      <c r="B147" s="5">
        <v>1140</v>
      </c>
      <c r="C147" s="5" t="s">
        <v>130</v>
      </c>
      <c r="D147" s="5" t="s">
        <v>99</v>
      </c>
      <c r="E147" s="5" t="s">
        <v>95</v>
      </c>
      <c r="F147" s="6">
        <v>140</v>
      </c>
      <c r="G147" s="6">
        <v>423</v>
      </c>
      <c r="H147" s="6">
        <v>140</v>
      </c>
      <c r="I147" s="6">
        <f t="shared" si="2"/>
        <v>59220</v>
      </c>
      <c r="J147" s="6">
        <f t="shared" si="0"/>
        <v>8883</v>
      </c>
      <c r="K147" s="13">
        <f t="shared" si="1"/>
        <v>68103</v>
      </c>
      <c r="L147" s="17" t="s">
        <v>25</v>
      </c>
      <c r="N147" s="26"/>
      <c r="O147" s="26"/>
      <c r="P147" s="10"/>
    </row>
    <row r="148" spans="1:16" x14ac:dyDescent="0.3">
      <c r="A148" s="2">
        <v>45991</v>
      </c>
      <c r="B148" s="5">
        <v>1140</v>
      </c>
      <c r="C148" s="5" t="s">
        <v>130</v>
      </c>
      <c r="D148" s="5" t="s">
        <v>99</v>
      </c>
      <c r="E148" s="5" t="s">
        <v>98</v>
      </c>
      <c r="F148" s="6">
        <v>30</v>
      </c>
      <c r="G148" s="6">
        <v>414</v>
      </c>
      <c r="H148" s="6">
        <v>30</v>
      </c>
      <c r="I148" s="6">
        <f t="shared" si="2"/>
        <v>12420</v>
      </c>
      <c r="J148" s="6">
        <f t="shared" si="0"/>
        <v>1863</v>
      </c>
      <c r="K148" s="13">
        <f t="shared" si="1"/>
        <v>14283</v>
      </c>
      <c r="L148" s="17" t="s">
        <v>25</v>
      </c>
      <c r="N148" s="26"/>
      <c r="O148" s="26"/>
      <c r="P148" s="10"/>
    </row>
    <row r="149" spans="1:16" x14ac:dyDescent="0.3">
      <c r="A149" s="2">
        <v>45991</v>
      </c>
      <c r="B149" s="143">
        <v>1141</v>
      </c>
      <c r="C149" s="5" t="s">
        <v>130</v>
      </c>
      <c r="D149" s="5" t="s">
        <v>88</v>
      </c>
      <c r="E149" s="5" t="s">
        <v>11</v>
      </c>
      <c r="F149" s="6">
        <v>50</v>
      </c>
      <c r="G149" s="6">
        <v>167</v>
      </c>
      <c r="H149" s="6">
        <v>50</v>
      </c>
      <c r="I149" s="6">
        <f t="shared" si="2"/>
        <v>8350</v>
      </c>
      <c r="J149" s="6">
        <f t="shared" si="0"/>
        <v>1252.5</v>
      </c>
      <c r="K149" s="114">
        <f t="shared" si="1"/>
        <v>9602.5</v>
      </c>
      <c r="L149" s="112" t="s">
        <v>25</v>
      </c>
      <c r="M149" s="120"/>
      <c r="N149" s="26"/>
      <c r="O149" s="26"/>
      <c r="P149" s="10"/>
    </row>
    <row r="150" spans="1:16" x14ac:dyDescent="0.3">
      <c r="A150" s="2"/>
      <c r="B150" s="5"/>
      <c r="C150" s="5"/>
      <c r="D150" s="5"/>
      <c r="E150" s="5"/>
      <c r="F150" s="6"/>
      <c r="G150" s="6"/>
      <c r="H150" s="6"/>
      <c r="I150" s="6">
        <f t="shared" si="2"/>
        <v>0</v>
      </c>
      <c r="J150" s="6">
        <f t="shared" si="0"/>
        <v>0</v>
      </c>
      <c r="K150" s="13">
        <f t="shared" si="1"/>
        <v>0</v>
      </c>
      <c r="L150" s="17"/>
      <c r="N150" s="26"/>
      <c r="O150" s="26"/>
      <c r="P150" s="10"/>
    </row>
    <row r="151" spans="1:16" x14ac:dyDescent="0.3">
      <c r="A151" s="2"/>
      <c r="B151" s="5"/>
      <c r="C151" s="5"/>
      <c r="D151" s="5"/>
      <c r="E151" s="5"/>
      <c r="F151" s="6"/>
      <c r="G151" s="6"/>
      <c r="H151" s="6"/>
      <c r="I151" s="6">
        <f t="shared" si="2"/>
        <v>0</v>
      </c>
      <c r="J151" s="6">
        <f t="shared" si="0"/>
        <v>0</v>
      </c>
      <c r="K151" s="13">
        <f t="shared" si="1"/>
        <v>0</v>
      </c>
      <c r="L151" s="17"/>
      <c r="N151" s="26"/>
      <c r="O151" s="26"/>
      <c r="P151" s="10"/>
    </row>
    <row r="152" spans="1:16" x14ac:dyDescent="0.3">
      <c r="A152" s="2"/>
      <c r="B152" s="5"/>
      <c r="C152" s="5"/>
      <c r="D152" s="5"/>
      <c r="E152" s="5"/>
      <c r="F152" s="6"/>
      <c r="G152" s="6"/>
      <c r="H152" s="6"/>
      <c r="I152" s="6">
        <f t="shared" si="2"/>
        <v>0</v>
      </c>
      <c r="J152" s="6">
        <f t="shared" si="0"/>
        <v>0</v>
      </c>
      <c r="K152" s="13">
        <f t="shared" si="1"/>
        <v>0</v>
      </c>
      <c r="L152" s="17"/>
      <c r="N152" s="26"/>
      <c r="O152" s="26"/>
      <c r="P152" s="10"/>
    </row>
    <row r="153" spans="1:16" x14ac:dyDescent="0.3">
      <c r="A153" s="2"/>
      <c r="B153" s="5"/>
      <c r="C153" s="5"/>
      <c r="D153" s="5"/>
      <c r="E153" s="5"/>
      <c r="F153" s="6"/>
      <c r="G153" s="6"/>
      <c r="H153" s="6"/>
      <c r="I153" s="6">
        <f t="shared" si="2"/>
        <v>0</v>
      </c>
      <c r="J153" s="6">
        <f t="shared" si="0"/>
        <v>0</v>
      </c>
      <c r="K153" s="13">
        <f t="shared" si="1"/>
        <v>0</v>
      </c>
      <c r="L153" s="17"/>
      <c r="N153" s="26"/>
      <c r="O153" s="26"/>
      <c r="P153" s="10"/>
    </row>
    <row r="154" spans="1:16" x14ac:dyDescent="0.3">
      <c r="A154" s="2"/>
      <c r="B154" s="5"/>
      <c r="C154" s="5"/>
      <c r="D154" s="5"/>
      <c r="E154" s="5"/>
      <c r="F154" s="6"/>
      <c r="G154" s="6"/>
      <c r="H154" s="6"/>
      <c r="I154" s="6">
        <f t="shared" si="2"/>
        <v>0</v>
      </c>
      <c r="J154" s="6">
        <f t="shared" si="0"/>
        <v>0</v>
      </c>
      <c r="K154" s="13">
        <f t="shared" si="1"/>
        <v>0</v>
      </c>
      <c r="L154" s="17"/>
      <c r="N154" s="26"/>
      <c r="O154" s="26"/>
      <c r="P154" s="10"/>
    </row>
    <row r="155" spans="1:16" x14ac:dyDescent="0.3">
      <c r="A155" s="2"/>
      <c r="B155" s="5"/>
      <c r="C155" s="5"/>
      <c r="D155" s="5"/>
      <c r="E155" s="5"/>
      <c r="F155" s="6"/>
      <c r="G155" s="6"/>
      <c r="H155" s="6"/>
      <c r="I155" s="6">
        <f t="shared" si="2"/>
        <v>0</v>
      </c>
      <c r="J155" s="6">
        <f t="shared" si="0"/>
        <v>0</v>
      </c>
      <c r="K155" s="13">
        <f t="shared" si="1"/>
        <v>0</v>
      </c>
      <c r="L155" s="17"/>
      <c r="N155" s="26"/>
      <c r="O155" s="26"/>
      <c r="P155" s="10"/>
    </row>
    <row r="156" spans="1:16" x14ac:dyDescent="0.3">
      <c r="A156" s="2"/>
      <c r="B156" s="5"/>
      <c r="C156" s="5"/>
      <c r="D156" s="5"/>
      <c r="E156" s="5"/>
      <c r="F156" s="6"/>
      <c r="G156" s="6"/>
      <c r="H156" s="6"/>
      <c r="I156" s="6">
        <f t="shared" si="2"/>
        <v>0</v>
      </c>
      <c r="J156" s="6">
        <f t="shared" si="0"/>
        <v>0</v>
      </c>
      <c r="K156" s="13">
        <f t="shared" si="1"/>
        <v>0</v>
      </c>
      <c r="L156" s="17"/>
      <c r="N156" s="26"/>
      <c r="O156" s="26"/>
      <c r="P156" s="10"/>
    </row>
    <row r="157" spans="1:16" x14ac:dyDescent="0.3">
      <c r="A157" s="2"/>
      <c r="B157" s="5"/>
      <c r="C157" s="5"/>
      <c r="D157" s="5"/>
      <c r="E157" s="5"/>
      <c r="F157" s="6"/>
      <c r="G157" s="6"/>
      <c r="H157" s="6"/>
      <c r="I157" s="6">
        <f t="shared" si="2"/>
        <v>0</v>
      </c>
      <c r="J157" s="6">
        <f t="shared" si="0"/>
        <v>0</v>
      </c>
      <c r="K157" s="13">
        <f t="shared" si="1"/>
        <v>0</v>
      </c>
      <c r="L157" s="17"/>
      <c r="N157" s="26"/>
      <c r="O157" s="26"/>
      <c r="P157" s="10"/>
    </row>
    <row r="158" spans="1:16" x14ac:dyDescent="0.3">
      <c r="A158" s="2"/>
      <c r="B158" s="5"/>
      <c r="C158" s="5"/>
      <c r="D158" s="5"/>
      <c r="E158" s="5"/>
      <c r="F158" s="6"/>
      <c r="G158" s="6"/>
      <c r="H158" s="6"/>
      <c r="I158" s="6">
        <f t="shared" si="2"/>
        <v>0</v>
      </c>
      <c r="J158" s="6">
        <f t="shared" si="0"/>
        <v>0</v>
      </c>
      <c r="K158" s="13">
        <f t="shared" si="1"/>
        <v>0</v>
      </c>
      <c r="L158" s="17"/>
      <c r="N158" s="26"/>
      <c r="O158" s="26"/>
      <c r="P158" s="10" t="s">
        <v>114</v>
      </c>
    </row>
    <row r="159" spans="1:16" x14ac:dyDescent="0.3">
      <c r="A159" s="12"/>
      <c r="B159" s="5"/>
      <c r="C159" s="5"/>
      <c r="D159" s="5"/>
      <c r="E159" s="5"/>
      <c r="F159" s="14">
        <f>SUBTOTAL(9,F3:F158)</f>
        <v>10584</v>
      </c>
      <c r="G159" s="14"/>
      <c r="H159" s="14">
        <f>SUBTOTAL(9,H3:H158)</f>
        <v>22681.410000000003</v>
      </c>
      <c r="I159" s="14">
        <f>SUBTOTAL(9,I3:I158)</f>
        <v>2503132.4979999992</v>
      </c>
      <c r="J159" s="14">
        <f>SUBTOTAL(9,J3:J158)</f>
        <v>375469.8747000001</v>
      </c>
      <c r="K159" s="14">
        <f>SUBTOTAL(9,K3:K158)</f>
        <v>2878602.3726999997</v>
      </c>
      <c r="L159" s="7"/>
      <c r="N159" s="26"/>
      <c r="O159" s="26"/>
    </row>
    <row r="160" spans="1:16" x14ac:dyDescent="0.3">
      <c r="I160" s="11">
        <f>I159/H159</f>
        <v>110.36053305328015</v>
      </c>
    </row>
    <row r="162" spans="1:13" x14ac:dyDescent="0.3">
      <c r="A162" s="20">
        <v>45956</v>
      </c>
      <c r="B162" s="21"/>
      <c r="C162" s="21"/>
      <c r="D162" s="22" t="s">
        <v>52</v>
      </c>
      <c r="E162" s="22" t="s">
        <v>50</v>
      </c>
      <c r="F162" s="22"/>
      <c r="G162" s="22"/>
      <c r="H162" s="22">
        <v>3</v>
      </c>
      <c r="I162" s="22">
        <v>161</v>
      </c>
      <c r="J162" s="22"/>
      <c r="K162" s="22">
        <f>H162*I162</f>
        <v>483</v>
      </c>
      <c r="L162" s="22"/>
      <c r="M162" s="21" t="s">
        <v>53</v>
      </c>
    </row>
    <row r="163" spans="1:13" x14ac:dyDescent="0.3">
      <c r="A163" s="20">
        <v>45956</v>
      </c>
      <c r="B163" s="21"/>
      <c r="C163" s="21"/>
      <c r="D163" s="22" t="s">
        <v>52</v>
      </c>
      <c r="E163" s="22" t="s">
        <v>51</v>
      </c>
      <c r="F163" s="22"/>
      <c r="G163" s="23"/>
      <c r="H163" s="44">
        <v>8</v>
      </c>
      <c r="I163" s="23">
        <v>160</v>
      </c>
      <c r="J163" s="22"/>
      <c r="K163" s="22">
        <f>H163*I163</f>
        <v>1280</v>
      </c>
      <c r="L163" s="22"/>
      <c r="M163" s="21" t="s">
        <v>53</v>
      </c>
    </row>
    <row r="164" spans="1:13" x14ac:dyDescent="0.3">
      <c r="A164" s="20">
        <v>45948</v>
      </c>
      <c r="B164" s="21"/>
      <c r="C164" s="21"/>
      <c r="D164" s="22" t="s">
        <v>40</v>
      </c>
      <c r="E164" s="22" t="s">
        <v>17</v>
      </c>
      <c r="F164" s="22"/>
      <c r="G164" s="23"/>
      <c r="H164" s="44">
        <v>5</v>
      </c>
      <c r="I164" s="23">
        <v>279</v>
      </c>
      <c r="J164" s="22"/>
      <c r="K164" s="22">
        <f>H164*I164</f>
        <v>1395</v>
      </c>
      <c r="L164" s="22"/>
      <c r="M164" s="21" t="s">
        <v>61</v>
      </c>
    </row>
  </sheetData>
  <autoFilter ref="A2:O158" xr:uid="{1A81EC3C-5630-48AB-BF56-71ADF0529CAC}"/>
  <pageMargins left="0.17" right="0.12" top="0.75" bottom="0.75" header="0.3" footer="0.3"/>
  <pageSetup scale="63" orientation="landscape" r:id="rId1"/>
  <colBreaks count="1" manualBreakCount="1">
    <brk id="1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2B92A-8028-4E60-9234-C6771C50FB54}">
  <dimension ref="A1:P67"/>
  <sheetViews>
    <sheetView rightToLeft="1" zoomScaleNormal="100" workbookViewId="0">
      <pane ySplit="2" topLeftCell="A30" activePane="bottomLeft" state="frozen"/>
      <selection activeCell="K3" activeCellId="2" sqref="K31 K49:K50 K3"/>
      <selection pane="bottomLeft" activeCell="M10" sqref="M10"/>
    </sheetView>
  </sheetViews>
  <sheetFormatPr defaultRowHeight="14.4" x14ac:dyDescent="0.3"/>
  <cols>
    <col min="1" max="1" width="6.88671875" customWidth="1"/>
    <col min="2" max="2" width="10.44140625" customWidth="1"/>
    <col min="4" max="4" width="24.33203125" customWidth="1"/>
    <col min="5" max="5" width="25" bestFit="1" customWidth="1"/>
    <col min="6" max="6" width="19.33203125" customWidth="1"/>
    <col min="7" max="7" width="8.88671875" bestFit="1" customWidth="1"/>
    <col min="8" max="8" width="15.5546875" style="11" bestFit="1" customWidth="1"/>
    <col min="9" max="9" width="12.77734375" style="11" bestFit="1" customWidth="1"/>
    <col min="10" max="10" width="11.6640625" style="11" bestFit="1" customWidth="1"/>
    <col min="11" max="11" width="12.6640625" style="11" bestFit="1" customWidth="1"/>
    <col min="12" max="12" width="10.44140625" style="11" bestFit="1" customWidth="1"/>
    <col min="13" max="13" width="65.21875" bestFit="1" customWidth="1"/>
    <col min="14" max="14" width="12.77734375" customWidth="1"/>
    <col min="15" max="15" width="17.88671875" bestFit="1" customWidth="1"/>
  </cols>
  <sheetData>
    <row r="1" spans="1:15" ht="15.6" x14ac:dyDescent="0.3">
      <c r="H1" s="9" t="s">
        <v>35</v>
      </c>
    </row>
    <row r="2" spans="1:15" x14ac:dyDescent="0.3">
      <c r="A2" s="15" t="s">
        <v>0</v>
      </c>
      <c r="B2" s="15" t="s">
        <v>1</v>
      </c>
      <c r="C2" s="8"/>
      <c r="D2" s="15" t="s">
        <v>28</v>
      </c>
      <c r="E2" s="15" t="s">
        <v>39</v>
      </c>
      <c r="F2" s="15" t="s">
        <v>59</v>
      </c>
      <c r="G2" s="15" t="s">
        <v>5</v>
      </c>
      <c r="H2" s="15" t="s">
        <v>36</v>
      </c>
      <c r="I2" s="15" t="s">
        <v>37</v>
      </c>
      <c r="J2" s="15" t="s">
        <v>8</v>
      </c>
      <c r="K2" s="15" t="s">
        <v>38</v>
      </c>
      <c r="L2" s="15" t="s">
        <v>24</v>
      </c>
      <c r="M2" s="24" t="s">
        <v>48</v>
      </c>
      <c r="N2" s="25" t="s">
        <v>54</v>
      </c>
      <c r="O2" s="25"/>
    </row>
    <row r="3" spans="1:15" x14ac:dyDescent="0.3">
      <c r="A3" s="2">
        <v>45942</v>
      </c>
      <c r="B3" s="1">
        <v>1001</v>
      </c>
      <c r="C3" s="1"/>
      <c r="D3" s="1" t="s">
        <v>32</v>
      </c>
      <c r="E3" s="1" t="s">
        <v>17</v>
      </c>
      <c r="F3" s="1"/>
      <c r="G3" s="1">
        <v>280</v>
      </c>
      <c r="H3" s="1">
        <v>50</v>
      </c>
      <c r="I3" s="1">
        <f t="shared" ref="I3:I34" si="0">H3*G3</f>
        <v>14000</v>
      </c>
      <c r="J3" s="1">
        <f t="shared" ref="J3:J34" si="1">I3*15%</f>
        <v>2100</v>
      </c>
      <c r="K3" s="75">
        <f t="shared" ref="K3:K34" si="2">I3+J3</f>
        <v>16100</v>
      </c>
      <c r="L3" s="4" t="s">
        <v>25</v>
      </c>
      <c r="M3" s="16"/>
      <c r="N3" s="26" t="s">
        <v>55</v>
      </c>
      <c r="O3" s="26"/>
    </row>
    <row r="4" spans="1:15" x14ac:dyDescent="0.3">
      <c r="A4" s="2">
        <v>45942</v>
      </c>
      <c r="B4" s="1">
        <v>1002</v>
      </c>
      <c r="C4" s="1"/>
      <c r="D4" s="1" t="s">
        <v>23</v>
      </c>
      <c r="E4" s="1" t="s">
        <v>11</v>
      </c>
      <c r="F4" s="1"/>
      <c r="G4" s="1">
        <v>172</v>
      </c>
      <c r="H4" s="1">
        <v>10</v>
      </c>
      <c r="I4" s="1">
        <f t="shared" si="0"/>
        <v>1720</v>
      </c>
      <c r="J4" s="1">
        <f t="shared" si="1"/>
        <v>258</v>
      </c>
      <c r="K4" s="75">
        <f t="shared" si="2"/>
        <v>1978</v>
      </c>
      <c r="L4" s="4" t="s">
        <v>25</v>
      </c>
      <c r="M4" s="19"/>
      <c r="N4" s="26" t="s">
        <v>55</v>
      </c>
      <c r="O4" s="26"/>
    </row>
    <row r="5" spans="1:15" x14ac:dyDescent="0.3">
      <c r="A5" s="2">
        <v>45942</v>
      </c>
      <c r="B5" s="1">
        <v>1003</v>
      </c>
      <c r="C5" s="1"/>
      <c r="D5" s="1" t="s">
        <v>22</v>
      </c>
      <c r="E5" s="1" t="s">
        <v>18</v>
      </c>
      <c r="F5" s="1"/>
      <c r="G5" s="1">
        <v>335</v>
      </c>
      <c r="H5" s="1">
        <v>10</v>
      </c>
      <c r="I5" s="1">
        <f t="shared" si="0"/>
        <v>3350</v>
      </c>
      <c r="J5" s="1">
        <f t="shared" si="1"/>
        <v>502.5</v>
      </c>
      <c r="K5" s="75">
        <f t="shared" si="2"/>
        <v>3852.5</v>
      </c>
      <c r="L5" s="4" t="s">
        <v>25</v>
      </c>
      <c r="M5" s="16"/>
      <c r="N5" s="26" t="s">
        <v>55</v>
      </c>
      <c r="O5" s="26"/>
    </row>
    <row r="6" spans="1:15" x14ac:dyDescent="0.3">
      <c r="A6" s="2">
        <v>45942</v>
      </c>
      <c r="B6" s="1">
        <v>1003</v>
      </c>
      <c r="C6" s="1"/>
      <c r="D6" s="1" t="s">
        <v>22</v>
      </c>
      <c r="E6" s="1" t="s">
        <v>19</v>
      </c>
      <c r="F6" s="1"/>
      <c r="G6" s="1">
        <v>666</v>
      </c>
      <c r="H6" s="1">
        <v>5</v>
      </c>
      <c r="I6" s="1">
        <f t="shared" si="0"/>
        <v>3330</v>
      </c>
      <c r="J6" s="1">
        <f t="shared" si="1"/>
        <v>499.5</v>
      </c>
      <c r="K6" s="75">
        <f t="shared" si="2"/>
        <v>3829.5</v>
      </c>
      <c r="L6" s="4" t="s">
        <v>25</v>
      </c>
      <c r="M6" s="16"/>
      <c r="N6" s="26" t="s">
        <v>55</v>
      </c>
      <c r="O6" s="26"/>
    </row>
    <row r="7" spans="1:15" x14ac:dyDescent="0.3">
      <c r="A7" s="2">
        <v>45943</v>
      </c>
      <c r="B7" s="1">
        <v>1004</v>
      </c>
      <c r="C7" s="1"/>
      <c r="D7" s="1" t="s">
        <v>42</v>
      </c>
      <c r="E7" s="1" t="s">
        <v>20</v>
      </c>
      <c r="F7" s="1">
        <v>21</v>
      </c>
      <c r="G7" s="1">
        <v>46</v>
      </c>
      <c r="H7" s="41">
        <v>299.27</v>
      </c>
      <c r="I7" s="1">
        <f t="shared" si="0"/>
        <v>13766.419999999998</v>
      </c>
      <c r="J7" s="1">
        <f t="shared" si="1"/>
        <v>2064.9629999999997</v>
      </c>
      <c r="K7" s="75">
        <f t="shared" si="2"/>
        <v>15831.382999999998</v>
      </c>
      <c r="L7" s="4" t="s">
        <v>25</v>
      </c>
      <c r="M7" s="16"/>
      <c r="N7" s="26" t="s">
        <v>55</v>
      </c>
      <c r="O7" s="26"/>
    </row>
    <row r="8" spans="1:15" x14ac:dyDescent="0.3">
      <c r="A8" s="2">
        <v>45945</v>
      </c>
      <c r="B8" s="1">
        <v>1005</v>
      </c>
      <c r="C8" s="1"/>
      <c r="D8" s="1" t="s">
        <v>30</v>
      </c>
      <c r="E8" s="1" t="s">
        <v>17</v>
      </c>
      <c r="F8" s="1"/>
      <c r="G8" s="1">
        <v>280</v>
      </c>
      <c r="H8" s="1">
        <v>25</v>
      </c>
      <c r="I8" s="1">
        <f t="shared" si="0"/>
        <v>7000</v>
      </c>
      <c r="J8" s="1">
        <f t="shared" si="1"/>
        <v>1050</v>
      </c>
      <c r="K8" s="75">
        <f t="shared" si="2"/>
        <v>8050</v>
      </c>
      <c r="L8" s="4" t="s">
        <v>25</v>
      </c>
      <c r="N8" s="25" t="s">
        <v>55</v>
      </c>
      <c r="O8" s="25"/>
    </row>
    <row r="9" spans="1:15" x14ac:dyDescent="0.3">
      <c r="A9" s="12">
        <v>45945</v>
      </c>
      <c r="B9" s="5">
        <v>1006</v>
      </c>
      <c r="C9" s="5"/>
      <c r="D9" s="5" t="s">
        <v>34</v>
      </c>
      <c r="E9" s="5" t="s">
        <v>16</v>
      </c>
      <c r="F9" s="5"/>
      <c r="G9" s="5">
        <v>200</v>
      </c>
      <c r="H9" s="5">
        <v>100</v>
      </c>
      <c r="I9" s="5">
        <f t="shared" si="0"/>
        <v>20000</v>
      </c>
      <c r="J9" s="5">
        <f t="shared" si="1"/>
        <v>3000</v>
      </c>
      <c r="K9" s="76">
        <f t="shared" si="2"/>
        <v>23000</v>
      </c>
      <c r="L9" s="7" t="s">
        <v>25</v>
      </c>
      <c r="M9" s="16"/>
      <c r="N9" s="26" t="s">
        <v>55</v>
      </c>
      <c r="O9" s="26"/>
    </row>
    <row r="10" spans="1:15" x14ac:dyDescent="0.3">
      <c r="A10" s="2">
        <v>45946</v>
      </c>
      <c r="B10" s="1">
        <v>1007</v>
      </c>
      <c r="C10" s="1"/>
      <c r="D10" s="1" t="s">
        <v>41</v>
      </c>
      <c r="E10" s="1" t="s">
        <v>20</v>
      </c>
      <c r="F10" s="1">
        <v>10</v>
      </c>
      <c r="G10" s="1">
        <v>45.5</v>
      </c>
      <c r="H10" s="41">
        <v>136.35</v>
      </c>
      <c r="I10" s="1">
        <f t="shared" si="0"/>
        <v>6203.9250000000002</v>
      </c>
      <c r="J10" s="1">
        <f t="shared" si="1"/>
        <v>930.58875</v>
      </c>
      <c r="K10" s="75">
        <f t="shared" si="2"/>
        <v>7134.5137500000001</v>
      </c>
      <c r="L10" s="4" t="s">
        <v>25</v>
      </c>
      <c r="M10" s="16"/>
      <c r="N10" s="26" t="s">
        <v>55</v>
      </c>
      <c r="O10" s="26"/>
    </row>
    <row r="11" spans="1:15" x14ac:dyDescent="0.3">
      <c r="A11" s="2">
        <v>45946</v>
      </c>
      <c r="B11" s="1">
        <v>1007</v>
      </c>
      <c r="C11" s="1"/>
      <c r="D11" s="1" t="s">
        <v>41</v>
      </c>
      <c r="E11" s="1" t="s">
        <v>18</v>
      </c>
      <c r="F11" s="1"/>
      <c r="G11" s="1">
        <v>329</v>
      </c>
      <c r="H11" s="6">
        <v>3</v>
      </c>
      <c r="I11" s="1">
        <f t="shared" si="0"/>
        <v>987</v>
      </c>
      <c r="J11" s="1">
        <f t="shared" si="1"/>
        <v>148.04999999999998</v>
      </c>
      <c r="K11" s="75">
        <f t="shared" si="2"/>
        <v>1135.05</v>
      </c>
      <c r="L11" s="4" t="s">
        <v>25</v>
      </c>
      <c r="M11" s="16"/>
      <c r="N11" s="26" t="s">
        <v>55</v>
      </c>
      <c r="O11" s="26"/>
    </row>
    <row r="12" spans="1:15" x14ac:dyDescent="0.3">
      <c r="A12" s="2">
        <v>45946</v>
      </c>
      <c r="B12" s="1" t="s">
        <v>66</v>
      </c>
      <c r="C12" s="1"/>
      <c r="D12" s="1" t="s">
        <v>65</v>
      </c>
      <c r="E12" s="1" t="s">
        <v>17</v>
      </c>
      <c r="F12" s="1">
        <v>5</v>
      </c>
      <c r="G12" s="1">
        <v>279</v>
      </c>
      <c r="H12" s="6">
        <v>5</v>
      </c>
      <c r="I12" s="1">
        <f t="shared" si="0"/>
        <v>1395</v>
      </c>
      <c r="J12" s="1">
        <f t="shared" si="1"/>
        <v>209.25</v>
      </c>
      <c r="K12" s="3">
        <f t="shared" si="2"/>
        <v>1604.25</v>
      </c>
      <c r="L12" s="4"/>
      <c r="N12" s="26"/>
      <c r="O12" s="26"/>
    </row>
    <row r="13" spans="1:15" x14ac:dyDescent="0.3">
      <c r="A13" s="2">
        <v>45948</v>
      </c>
      <c r="B13" s="1">
        <v>1008</v>
      </c>
      <c r="C13" s="1"/>
      <c r="D13" s="1" t="s">
        <v>27</v>
      </c>
      <c r="E13" s="1" t="s">
        <v>20</v>
      </c>
      <c r="F13" s="1">
        <v>20</v>
      </c>
      <c r="G13" s="1">
        <v>46</v>
      </c>
      <c r="H13" s="41">
        <f>1302.16-1051.17</f>
        <v>250.99</v>
      </c>
      <c r="I13" s="1">
        <f t="shared" si="0"/>
        <v>11545.54</v>
      </c>
      <c r="J13" s="1">
        <f t="shared" si="1"/>
        <v>1731.8310000000001</v>
      </c>
      <c r="K13" s="75">
        <f t="shared" si="2"/>
        <v>13277.371000000001</v>
      </c>
      <c r="L13" s="4" t="s">
        <v>25</v>
      </c>
      <c r="M13" s="28"/>
      <c r="N13" s="26" t="s">
        <v>55</v>
      </c>
      <c r="O13" s="26"/>
    </row>
    <row r="14" spans="1:15" x14ac:dyDescent="0.3">
      <c r="A14" s="2">
        <v>45948</v>
      </c>
      <c r="B14" s="1">
        <v>1009</v>
      </c>
      <c r="C14" s="1"/>
      <c r="D14" s="1" t="s">
        <v>30</v>
      </c>
      <c r="E14" s="1" t="s">
        <v>17</v>
      </c>
      <c r="F14" s="1"/>
      <c r="G14" s="1">
        <v>280</v>
      </c>
      <c r="H14" s="1">
        <v>20</v>
      </c>
      <c r="I14" s="1">
        <f t="shared" si="0"/>
        <v>5600</v>
      </c>
      <c r="J14" s="1">
        <f t="shared" si="1"/>
        <v>840</v>
      </c>
      <c r="K14" s="30">
        <f t="shared" si="2"/>
        <v>6440</v>
      </c>
      <c r="L14" s="31" t="s">
        <v>25</v>
      </c>
      <c r="M14" s="29"/>
      <c r="N14" s="26"/>
      <c r="O14" s="26"/>
    </row>
    <row r="15" spans="1:15" x14ac:dyDescent="0.3">
      <c r="A15" s="2">
        <v>45949</v>
      </c>
      <c r="B15" s="1">
        <v>1010</v>
      </c>
      <c r="C15" s="1"/>
      <c r="D15" s="1" t="s">
        <v>31</v>
      </c>
      <c r="E15" s="1" t="s">
        <v>17</v>
      </c>
      <c r="F15" s="1"/>
      <c r="G15" s="1">
        <v>280</v>
      </c>
      <c r="H15" s="1">
        <v>20</v>
      </c>
      <c r="I15" s="1">
        <f t="shared" si="0"/>
        <v>5600</v>
      </c>
      <c r="J15" s="1">
        <f t="shared" si="1"/>
        <v>840</v>
      </c>
      <c r="K15" s="75">
        <f t="shared" si="2"/>
        <v>6440</v>
      </c>
      <c r="L15" s="4" t="s">
        <v>25</v>
      </c>
      <c r="M15" s="16"/>
      <c r="N15" s="26" t="s">
        <v>55</v>
      </c>
      <c r="O15" s="26"/>
    </row>
    <row r="16" spans="1:15" x14ac:dyDescent="0.3">
      <c r="A16" s="2">
        <v>45949</v>
      </c>
      <c r="B16" s="1">
        <v>1011</v>
      </c>
      <c r="C16" s="1"/>
      <c r="D16" s="1" t="s">
        <v>33</v>
      </c>
      <c r="E16" s="1" t="s">
        <v>17</v>
      </c>
      <c r="F16" s="1">
        <v>5</v>
      </c>
      <c r="G16" s="1">
        <v>281</v>
      </c>
      <c r="H16" s="1">
        <v>5</v>
      </c>
      <c r="I16" s="1">
        <f t="shared" si="0"/>
        <v>1405</v>
      </c>
      <c r="J16" s="1">
        <f t="shared" si="1"/>
        <v>210.75</v>
      </c>
      <c r="K16" s="3">
        <f t="shared" si="2"/>
        <v>1615.75</v>
      </c>
      <c r="L16" s="4" t="s">
        <v>26</v>
      </c>
      <c r="M16" s="10"/>
      <c r="N16" s="26"/>
      <c r="O16" s="26"/>
    </row>
    <row r="17" spans="1:16" x14ac:dyDescent="0.3">
      <c r="A17" s="2">
        <v>45950</v>
      </c>
      <c r="B17" s="1">
        <v>1012</v>
      </c>
      <c r="C17" s="1"/>
      <c r="D17" s="1" t="s">
        <v>30</v>
      </c>
      <c r="E17" s="1" t="s">
        <v>20</v>
      </c>
      <c r="F17" s="1">
        <v>10</v>
      </c>
      <c r="G17" s="1">
        <v>47</v>
      </c>
      <c r="H17" s="41">
        <v>124.41</v>
      </c>
      <c r="I17" s="1">
        <f t="shared" si="0"/>
        <v>5847.2699999999995</v>
      </c>
      <c r="J17" s="1">
        <f t="shared" si="1"/>
        <v>877.09049999999991</v>
      </c>
      <c r="K17" s="75">
        <f t="shared" si="2"/>
        <v>6724.3604999999998</v>
      </c>
      <c r="L17" s="4" t="s">
        <v>60</v>
      </c>
      <c r="M17" s="16"/>
      <c r="N17" s="26" t="s">
        <v>55</v>
      </c>
      <c r="O17" s="26"/>
    </row>
    <row r="18" spans="1:16" x14ac:dyDescent="0.3">
      <c r="A18" s="2">
        <v>45950</v>
      </c>
      <c r="B18" s="1">
        <v>1013</v>
      </c>
      <c r="C18" s="1"/>
      <c r="D18" s="1" t="s">
        <v>32</v>
      </c>
      <c r="E18" s="1" t="s">
        <v>17</v>
      </c>
      <c r="F18" s="1"/>
      <c r="G18" s="1">
        <v>280</v>
      </c>
      <c r="H18" s="1">
        <v>15</v>
      </c>
      <c r="I18" s="1">
        <f t="shared" si="0"/>
        <v>4200</v>
      </c>
      <c r="J18" s="1">
        <f t="shared" si="1"/>
        <v>630</v>
      </c>
      <c r="K18" s="75">
        <f t="shared" si="2"/>
        <v>4830</v>
      </c>
      <c r="L18" s="4" t="s">
        <v>25</v>
      </c>
      <c r="N18" s="26" t="s">
        <v>55</v>
      </c>
      <c r="O18" s="26"/>
    </row>
    <row r="19" spans="1:16" x14ac:dyDescent="0.3">
      <c r="A19" s="2">
        <v>45950</v>
      </c>
      <c r="B19" s="1">
        <v>1014</v>
      </c>
      <c r="C19" s="1"/>
      <c r="D19" s="1" t="s">
        <v>33</v>
      </c>
      <c r="E19" s="1" t="s">
        <v>17</v>
      </c>
      <c r="F19" s="1"/>
      <c r="G19" s="1">
        <v>281</v>
      </c>
      <c r="H19" s="1">
        <v>5</v>
      </c>
      <c r="I19" s="1">
        <f t="shared" si="0"/>
        <v>1405</v>
      </c>
      <c r="J19" s="1">
        <f t="shared" si="1"/>
        <v>210.75</v>
      </c>
      <c r="K19" s="75">
        <f t="shared" si="2"/>
        <v>1615.75</v>
      </c>
      <c r="L19" s="4" t="s">
        <v>25</v>
      </c>
      <c r="N19" s="26" t="s">
        <v>55</v>
      </c>
      <c r="O19" s="26"/>
    </row>
    <row r="20" spans="1:16" x14ac:dyDescent="0.3">
      <c r="A20" s="2">
        <v>45950</v>
      </c>
      <c r="B20" s="1">
        <v>1015</v>
      </c>
      <c r="C20" s="1"/>
      <c r="D20" s="1" t="s">
        <v>34</v>
      </c>
      <c r="E20" s="1" t="s">
        <v>20</v>
      </c>
      <c r="F20" s="1">
        <v>30</v>
      </c>
      <c r="G20" s="1">
        <v>45.75</v>
      </c>
      <c r="H20" s="41">
        <v>397.42</v>
      </c>
      <c r="I20" s="1">
        <f t="shared" si="0"/>
        <v>18181.965</v>
      </c>
      <c r="J20" s="1">
        <f t="shared" si="1"/>
        <v>2727.29475</v>
      </c>
      <c r="K20" s="75">
        <f t="shared" si="2"/>
        <v>20909.259750000001</v>
      </c>
      <c r="L20" s="4" t="s">
        <v>25</v>
      </c>
      <c r="M20" s="16"/>
      <c r="N20" s="26" t="s">
        <v>55</v>
      </c>
      <c r="O20" s="26"/>
    </row>
    <row r="21" spans="1:16" x14ac:dyDescent="0.3">
      <c r="A21" s="2">
        <v>45948</v>
      </c>
      <c r="B21" s="5"/>
      <c r="C21" s="5"/>
      <c r="D21" s="1" t="s">
        <v>40</v>
      </c>
      <c r="E21" s="5" t="s">
        <v>17</v>
      </c>
      <c r="F21" s="6">
        <v>5</v>
      </c>
      <c r="G21" s="6">
        <v>279</v>
      </c>
      <c r="H21" s="45">
        <v>5</v>
      </c>
      <c r="I21" s="6">
        <f t="shared" si="0"/>
        <v>1395</v>
      </c>
      <c r="J21" s="6">
        <f t="shared" si="1"/>
        <v>209.25</v>
      </c>
      <c r="K21" s="76">
        <f t="shared" si="2"/>
        <v>1604.25</v>
      </c>
      <c r="L21" s="17" t="s">
        <v>25</v>
      </c>
      <c r="N21" s="25" t="s">
        <v>55</v>
      </c>
      <c r="O21" s="25"/>
      <c r="P21" s="10"/>
    </row>
    <row r="22" spans="1:16" x14ac:dyDescent="0.3">
      <c r="A22" s="2">
        <v>45951</v>
      </c>
      <c r="B22" s="5">
        <v>1016</v>
      </c>
      <c r="C22" s="5"/>
      <c r="D22" s="1" t="s">
        <v>41</v>
      </c>
      <c r="E22" s="1" t="s">
        <v>43</v>
      </c>
      <c r="F22" s="6"/>
      <c r="G22" s="6">
        <v>169</v>
      </c>
      <c r="H22" s="6">
        <v>60</v>
      </c>
      <c r="I22" s="6">
        <f t="shared" si="0"/>
        <v>10140</v>
      </c>
      <c r="J22" s="6">
        <f t="shared" si="1"/>
        <v>1521</v>
      </c>
      <c r="K22" s="76">
        <f t="shared" si="2"/>
        <v>11661</v>
      </c>
      <c r="L22" s="17" t="s">
        <v>25</v>
      </c>
      <c r="N22" s="26" t="s">
        <v>55</v>
      </c>
      <c r="O22" s="26"/>
      <c r="P22" s="10"/>
    </row>
    <row r="23" spans="1:16" x14ac:dyDescent="0.3">
      <c r="A23" s="2">
        <v>45951</v>
      </c>
      <c r="B23" s="5">
        <v>1017</v>
      </c>
      <c r="C23" s="5"/>
      <c r="D23" s="5" t="s">
        <v>23</v>
      </c>
      <c r="E23" s="5" t="s">
        <v>11</v>
      </c>
      <c r="F23" s="6"/>
      <c r="G23" s="6">
        <v>172</v>
      </c>
      <c r="H23" s="6">
        <v>250</v>
      </c>
      <c r="I23" s="6">
        <f t="shared" si="0"/>
        <v>43000</v>
      </c>
      <c r="J23" s="6">
        <f t="shared" si="1"/>
        <v>6450</v>
      </c>
      <c r="K23" s="76">
        <f t="shared" si="2"/>
        <v>49450</v>
      </c>
      <c r="L23" s="17" t="s">
        <v>25</v>
      </c>
      <c r="M23" s="19"/>
      <c r="N23" s="26" t="s">
        <v>55</v>
      </c>
      <c r="O23" s="26"/>
      <c r="P23" s="10"/>
    </row>
    <row r="24" spans="1:16" x14ac:dyDescent="0.3">
      <c r="A24" s="2">
        <v>45952</v>
      </c>
      <c r="B24" s="5">
        <v>1018</v>
      </c>
      <c r="C24" s="5"/>
      <c r="D24" s="5" t="s">
        <v>44</v>
      </c>
      <c r="E24" s="1" t="s">
        <v>43</v>
      </c>
      <c r="F24" s="6"/>
      <c r="G24" s="6">
        <v>171</v>
      </c>
      <c r="H24" s="6">
        <v>1</v>
      </c>
      <c r="I24" s="6">
        <f t="shared" si="0"/>
        <v>171</v>
      </c>
      <c r="J24" s="6">
        <f t="shared" si="1"/>
        <v>25.65</v>
      </c>
      <c r="K24" s="76">
        <f t="shared" si="2"/>
        <v>196.65</v>
      </c>
      <c r="L24" s="42" t="s">
        <v>25</v>
      </c>
      <c r="M24" s="43"/>
      <c r="N24" s="26"/>
      <c r="O24" s="26"/>
      <c r="P24" s="10"/>
    </row>
    <row r="25" spans="1:16" x14ac:dyDescent="0.3">
      <c r="A25" s="2">
        <v>45952</v>
      </c>
      <c r="B25" s="5">
        <v>1018</v>
      </c>
      <c r="C25" s="5"/>
      <c r="D25" s="5" t="s">
        <v>44</v>
      </c>
      <c r="E25" s="5" t="s">
        <v>11</v>
      </c>
      <c r="F25" s="6"/>
      <c r="G25" s="6">
        <v>172</v>
      </c>
      <c r="H25" s="6">
        <v>1</v>
      </c>
      <c r="I25" s="6">
        <f t="shared" si="0"/>
        <v>172</v>
      </c>
      <c r="J25" s="6">
        <f t="shared" si="1"/>
        <v>25.8</v>
      </c>
      <c r="K25" s="76">
        <f t="shared" si="2"/>
        <v>197.8</v>
      </c>
      <c r="L25" s="42" t="s">
        <v>25</v>
      </c>
      <c r="M25" s="43"/>
      <c r="N25" s="26"/>
      <c r="O25" s="26"/>
      <c r="P25" s="10"/>
    </row>
    <row r="26" spans="1:16" x14ac:dyDescent="0.3">
      <c r="A26" s="2">
        <v>45952</v>
      </c>
      <c r="B26" s="5">
        <v>1018</v>
      </c>
      <c r="C26" s="5"/>
      <c r="D26" s="5" t="s">
        <v>44</v>
      </c>
      <c r="E26" s="1" t="s">
        <v>20</v>
      </c>
      <c r="F26" s="6">
        <v>4</v>
      </c>
      <c r="G26" s="6">
        <v>46.5</v>
      </c>
      <c r="H26" s="41">
        <v>51.35</v>
      </c>
      <c r="I26" s="6">
        <f t="shared" si="0"/>
        <v>2387.7750000000001</v>
      </c>
      <c r="J26" s="6">
        <f t="shared" si="1"/>
        <v>358.16624999999999</v>
      </c>
      <c r="K26" s="76">
        <f t="shared" si="2"/>
        <v>2745.9412499999999</v>
      </c>
      <c r="L26" s="42" t="s">
        <v>25</v>
      </c>
      <c r="M26" s="43"/>
      <c r="N26" s="26"/>
      <c r="O26" s="26"/>
      <c r="P26" s="10"/>
    </row>
    <row r="27" spans="1:16" x14ac:dyDescent="0.3">
      <c r="A27" s="2">
        <v>45952</v>
      </c>
      <c r="B27" s="5">
        <v>1019</v>
      </c>
      <c r="C27" s="5"/>
      <c r="D27" s="5" t="s">
        <v>30</v>
      </c>
      <c r="E27" s="5" t="s">
        <v>17</v>
      </c>
      <c r="F27" s="6"/>
      <c r="G27" s="6">
        <v>280</v>
      </c>
      <c r="H27" s="45">
        <v>15</v>
      </c>
      <c r="I27" s="6">
        <f t="shared" si="0"/>
        <v>4200</v>
      </c>
      <c r="J27" s="6">
        <f t="shared" si="1"/>
        <v>630</v>
      </c>
      <c r="K27" s="76">
        <f t="shared" si="2"/>
        <v>4830</v>
      </c>
      <c r="L27" s="17" t="s">
        <v>25</v>
      </c>
      <c r="M27" s="18"/>
      <c r="N27" s="26" t="s">
        <v>55</v>
      </c>
      <c r="O27" s="26"/>
      <c r="P27" s="10"/>
    </row>
    <row r="28" spans="1:16" x14ac:dyDescent="0.3">
      <c r="A28" s="2">
        <v>45953</v>
      </c>
      <c r="B28" s="5">
        <v>1020</v>
      </c>
      <c r="C28" s="5"/>
      <c r="D28" s="5" t="s">
        <v>32</v>
      </c>
      <c r="E28" s="5" t="s">
        <v>17</v>
      </c>
      <c r="F28" s="6"/>
      <c r="G28" s="6">
        <v>280</v>
      </c>
      <c r="H28" s="45">
        <v>30</v>
      </c>
      <c r="I28" s="6">
        <f t="shared" si="0"/>
        <v>8400</v>
      </c>
      <c r="J28" s="6">
        <f t="shared" si="1"/>
        <v>1260</v>
      </c>
      <c r="K28" s="76">
        <f t="shared" si="2"/>
        <v>9660</v>
      </c>
      <c r="L28" s="17" t="s">
        <v>25</v>
      </c>
      <c r="M28" s="18"/>
      <c r="N28" s="26" t="s">
        <v>55</v>
      </c>
      <c r="O28" s="26"/>
      <c r="P28" s="10"/>
    </row>
    <row r="29" spans="1:16" x14ac:dyDescent="0.3">
      <c r="A29" s="2">
        <v>45953</v>
      </c>
      <c r="B29" s="5">
        <v>1021</v>
      </c>
      <c r="C29" s="5"/>
      <c r="D29" s="1" t="s">
        <v>41</v>
      </c>
      <c r="E29" s="1" t="s">
        <v>43</v>
      </c>
      <c r="F29" s="6"/>
      <c r="G29" s="6">
        <v>169</v>
      </c>
      <c r="H29" s="45">
        <v>130</v>
      </c>
      <c r="I29" s="6">
        <f t="shared" si="0"/>
        <v>21970</v>
      </c>
      <c r="J29" s="6">
        <f t="shared" si="1"/>
        <v>3295.5</v>
      </c>
      <c r="K29" s="76">
        <f t="shared" si="2"/>
        <v>25265.5</v>
      </c>
      <c r="L29" s="46" t="s">
        <v>25</v>
      </c>
      <c r="M29" s="28"/>
      <c r="N29" s="26"/>
      <c r="O29" s="26"/>
      <c r="P29" s="10"/>
    </row>
    <row r="30" spans="1:16" x14ac:dyDescent="0.3">
      <c r="A30" s="2">
        <v>45953</v>
      </c>
      <c r="B30" s="5">
        <v>1023</v>
      </c>
      <c r="C30" s="5"/>
      <c r="D30" s="5" t="s">
        <v>45</v>
      </c>
      <c r="E30" s="5" t="s">
        <v>46</v>
      </c>
      <c r="F30" s="6">
        <v>313</v>
      </c>
      <c r="G30" s="6">
        <v>24.25</v>
      </c>
      <c r="H30" s="45">
        <v>7000</v>
      </c>
      <c r="I30" s="6">
        <f t="shared" si="0"/>
        <v>169750</v>
      </c>
      <c r="J30" s="6">
        <f t="shared" si="1"/>
        <v>25462.5</v>
      </c>
      <c r="K30" s="76">
        <f t="shared" si="2"/>
        <v>195212.5</v>
      </c>
      <c r="L30" s="17" t="s">
        <v>25</v>
      </c>
      <c r="M30" s="19"/>
      <c r="N30" s="26"/>
      <c r="O30" s="26"/>
      <c r="P30" s="10"/>
    </row>
    <row r="31" spans="1:16" x14ac:dyDescent="0.3">
      <c r="A31" s="2">
        <v>45955</v>
      </c>
      <c r="B31" s="5">
        <v>1024</v>
      </c>
      <c r="C31" s="5"/>
      <c r="D31" s="1" t="s">
        <v>33</v>
      </c>
      <c r="E31" s="5" t="s">
        <v>17</v>
      </c>
      <c r="F31" s="6"/>
      <c r="G31" s="6">
        <v>282</v>
      </c>
      <c r="H31" s="45">
        <v>5</v>
      </c>
      <c r="I31" s="6">
        <f t="shared" si="0"/>
        <v>1410</v>
      </c>
      <c r="J31" s="6">
        <f t="shared" si="1"/>
        <v>211.5</v>
      </c>
      <c r="K31" s="55">
        <f t="shared" si="2"/>
        <v>1621.5</v>
      </c>
      <c r="L31" s="58" t="s">
        <v>25</v>
      </c>
      <c r="M31" s="57"/>
      <c r="N31" s="26"/>
      <c r="O31" s="26"/>
      <c r="P31" s="10"/>
    </row>
    <row r="32" spans="1:16" x14ac:dyDescent="0.3">
      <c r="A32" s="2">
        <v>45955</v>
      </c>
      <c r="B32" s="5">
        <v>1025</v>
      </c>
      <c r="C32" s="5"/>
      <c r="D32" s="5" t="s">
        <v>45</v>
      </c>
      <c r="E32" s="5" t="s">
        <v>46</v>
      </c>
      <c r="F32" s="6">
        <v>1</v>
      </c>
      <c r="G32" s="6">
        <v>24.25</v>
      </c>
      <c r="H32" s="41">
        <v>11.77</v>
      </c>
      <c r="I32" s="6">
        <f t="shared" si="0"/>
        <v>285.42250000000001</v>
      </c>
      <c r="J32" s="6">
        <f t="shared" si="1"/>
        <v>42.813375000000001</v>
      </c>
      <c r="K32" s="76">
        <f t="shared" si="2"/>
        <v>328.23587500000002</v>
      </c>
      <c r="L32" s="17" t="s">
        <v>25</v>
      </c>
      <c r="M32" s="19"/>
      <c r="N32" s="26"/>
      <c r="O32" s="26"/>
      <c r="P32" s="10"/>
    </row>
    <row r="33" spans="1:16" x14ac:dyDescent="0.3">
      <c r="A33" s="2">
        <v>45955</v>
      </c>
      <c r="B33" s="5">
        <v>1026</v>
      </c>
      <c r="C33" s="5"/>
      <c r="D33" s="1" t="s">
        <v>27</v>
      </c>
      <c r="E33" s="5" t="s">
        <v>46</v>
      </c>
      <c r="F33" s="6">
        <v>41</v>
      </c>
      <c r="G33" s="6">
        <v>24.5</v>
      </c>
      <c r="H33" s="41">
        <v>876.27</v>
      </c>
      <c r="I33" s="6">
        <f t="shared" si="0"/>
        <v>21468.614999999998</v>
      </c>
      <c r="J33" s="6">
        <f t="shared" si="1"/>
        <v>3220.2922499999995</v>
      </c>
      <c r="K33" s="76">
        <f t="shared" si="2"/>
        <v>24688.907249999997</v>
      </c>
      <c r="L33" s="17" t="s">
        <v>25</v>
      </c>
      <c r="N33" s="26" t="s">
        <v>55</v>
      </c>
      <c r="O33" s="26"/>
      <c r="P33" s="10"/>
    </row>
    <row r="34" spans="1:16" x14ac:dyDescent="0.3">
      <c r="A34" s="2">
        <v>45955</v>
      </c>
      <c r="B34" s="5">
        <v>1027</v>
      </c>
      <c r="C34" s="5"/>
      <c r="D34" s="5" t="s">
        <v>32</v>
      </c>
      <c r="E34" s="5" t="s">
        <v>17</v>
      </c>
      <c r="F34" s="6"/>
      <c r="G34" s="6">
        <v>280</v>
      </c>
      <c r="H34" s="6">
        <v>30</v>
      </c>
      <c r="I34" s="6">
        <f t="shared" si="0"/>
        <v>8400</v>
      </c>
      <c r="J34" s="6">
        <f t="shared" si="1"/>
        <v>1260</v>
      </c>
      <c r="K34" s="76">
        <f t="shared" si="2"/>
        <v>9660</v>
      </c>
      <c r="L34" s="17" t="s">
        <v>25</v>
      </c>
      <c r="N34" s="26" t="s">
        <v>55</v>
      </c>
      <c r="O34" s="26"/>
      <c r="P34" s="10"/>
    </row>
    <row r="35" spans="1:16" x14ac:dyDescent="0.3">
      <c r="A35" s="2">
        <v>45955</v>
      </c>
      <c r="B35" s="5">
        <v>1028</v>
      </c>
      <c r="C35" s="5"/>
      <c r="D35" s="5" t="s">
        <v>47</v>
      </c>
      <c r="E35" s="1" t="s">
        <v>18</v>
      </c>
      <c r="F35" s="6"/>
      <c r="G35" s="6">
        <v>333</v>
      </c>
      <c r="H35" s="6">
        <v>1</v>
      </c>
      <c r="I35" s="6">
        <f t="shared" ref="I35:I55" si="3">H35*G35</f>
        <v>333</v>
      </c>
      <c r="J35" s="6">
        <f t="shared" ref="J35:J55" si="4">I35*15%</f>
        <v>49.949999999999996</v>
      </c>
      <c r="K35" s="76">
        <f t="shared" ref="K35:K55" si="5">I35+J35</f>
        <v>382.95</v>
      </c>
      <c r="L35" s="42" t="s">
        <v>25</v>
      </c>
      <c r="M35" s="43"/>
      <c r="N35" s="26"/>
      <c r="O35" s="26" t="s">
        <v>56</v>
      </c>
      <c r="P35" s="10"/>
    </row>
    <row r="36" spans="1:16" x14ac:dyDescent="0.3">
      <c r="A36" s="2">
        <v>45956</v>
      </c>
      <c r="B36" s="5">
        <v>1029</v>
      </c>
      <c r="C36" s="5"/>
      <c r="D36" s="1" t="s">
        <v>33</v>
      </c>
      <c r="E36" s="5" t="s">
        <v>17</v>
      </c>
      <c r="F36" s="6"/>
      <c r="G36" s="6">
        <v>281</v>
      </c>
      <c r="H36" s="6">
        <v>5</v>
      </c>
      <c r="I36" s="6">
        <f t="shared" si="3"/>
        <v>1405</v>
      </c>
      <c r="J36" s="6">
        <f t="shared" si="4"/>
        <v>210.75</v>
      </c>
      <c r="K36" s="76">
        <f t="shared" si="5"/>
        <v>1615.75</v>
      </c>
      <c r="L36" s="17" t="s">
        <v>25</v>
      </c>
      <c r="N36" s="26"/>
      <c r="O36" s="26" t="s">
        <v>56</v>
      </c>
      <c r="P36" s="10"/>
    </row>
    <row r="37" spans="1:16" x14ac:dyDescent="0.3">
      <c r="A37" s="2">
        <v>45956</v>
      </c>
      <c r="B37" s="5">
        <v>1030</v>
      </c>
      <c r="C37" s="5"/>
      <c r="D37" s="5" t="s">
        <v>30</v>
      </c>
      <c r="E37" s="1" t="s">
        <v>18</v>
      </c>
      <c r="F37" s="6"/>
      <c r="G37" s="6">
        <v>325.5</v>
      </c>
      <c r="H37" s="6">
        <v>25</v>
      </c>
      <c r="I37" s="6">
        <f t="shared" si="3"/>
        <v>8137.5</v>
      </c>
      <c r="J37" s="6">
        <f t="shared" si="4"/>
        <v>1220.625</v>
      </c>
      <c r="K37" s="76">
        <f t="shared" si="5"/>
        <v>9358.125</v>
      </c>
      <c r="L37" s="42" t="s">
        <v>25</v>
      </c>
      <c r="M37" s="43"/>
      <c r="N37" s="26"/>
      <c r="O37" s="26" t="s">
        <v>56</v>
      </c>
      <c r="P37" s="10"/>
    </row>
    <row r="38" spans="1:16" x14ac:dyDescent="0.3">
      <c r="A38" s="2">
        <v>45956</v>
      </c>
      <c r="B38" s="5">
        <v>1031</v>
      </c>
      <c r="C38" s="5"/>
      <c r="D38" s="5" t="s">
        <v>49</v>
      </c>
      <c r="E38" s="5" t="s">
        <v>17</v>
      </c>
      <c r="F38" s="6"/>
      <c r="G38" s="6">
        <v>285</v>
      </c>
      <c r="H38" s="6">
        <v>3</v>
      </c>
      <c r="I38" s="6">
        <f t="shared" si="3"/>
        <v>855</v>
      </c>
      <c r="J38" s="6">
        <f t="shared" si="4"/>
        <v>128.25</v>
      </c>
      <c r="K38" s="76">
        <f t="shared" si="5"/>
        <v>983.25</v>
      </c>
      <c r="L38" s="17" t="s">
        <v>25</v>
      </c>
      <c r="N38" s="26" t="s">
        <v>55</v>
      </c>
      <c r="O38" s="26"/>
      <c r="P38" s="10"/>
    </row>
    <row r="39" spans="1:16" x14ac:dyDescent="0.3">
      <c r="A39" s="2">
        <v>45956</v>
      </c>
      <c r="B39" s="5">
        <v>1032</v>
      </c>
      <c r="C39" s="5"/>
      <c r="D39" s="1" t="s">
        <v>41</v>
      </c>
      <c r="E39" s="1" t="s">
        <v>43</v>
      </c>
      <c r="F39" s="6"/>
      <c r="G39" s="6">
        <v>169</v>
      </c>
      <c r="H39" s="6">
        <v>21</v>
      </c>
      <c r="I39" s="6">
        <f t="shared" si="3"/>
        <v>3549</v>
      </c>
      <c r="J39" s="6">
        <f t="shared" si="4"/>
        <v>532.35</v>
      </c>
      <c r="K39" s="76">
        <f t="shared" si="5"/>
        <v>4081.35</v>
      </c>
      <c r="L39" s="17" t="s">
        <v>25</v>
      </c>
      <c r="M39" s="10"/>
      <c r="N39" s="26"/>
      <c r="O39" s="26"/>
      <c r="P39" s="10"/>
    </row>
    <row r="40" spans="1:16" x14ac:dyDescent="0.3">
      <c r="A40" s="2">
        <v>45956</v>
      </c>
      <c r="B40" s="5">
        <v>1032</v>
      </c>
      <c r="C40" s="5"/>
      <c r="D40" s="1" t="s">
        <v>41</v>
      </c>
      <c r="E40" s="5" t="s">
        <v>11</v>
      </c>
      <c r="F40" s="6"/>
      <c r="G40" s="6">
        <v>169</v>
      </c>
      <c r="H40" s="6">
        <v>21</v>
      </c>
      <c r="I40" s="6">
        <f t="shared" si="3"/>
        <v>3549</v>
      </c>
      <c r="J40" s="6">
        <f t="shared" si="4"/>
        <v>532.35</v>
      </c>
      <c r="K40" s="76">
        <f t="shared" si="5"/>
        <v>4081.35</v>
      </c>
      <c r="L40" s="17" t="s">
        <v>25</v>
      </c>
      <c r="M40" s="10"/>
      <c r="N40" s="26"/>
      <c r="O40" s="26"/>
      <c r="P40" s="10"/>
    </row>
    <row r="41" spans="1:16" x14ac:dyDescent="0.3">
      <c r="A41" s="2">
        <v>45956</v>
      </c>
      <c r="B41" s="5">
        <v>1032</v>
      </c>
      <c r="C41" s="5"/>
      <c r="D41" s="1" t="s">
        <v>41</v>
      </c>
      <c r="E41" s="1" t="s">
        <v>18</v>
      </c>
      <c r="F41" s="6"/>
      <c r="G41" s="6">
        <v>325</v>
      </c>
      <c r="H41" s="6">
        <v>3</v>
      </c>
      <c r="I41" s="6">
        <f t="shared" si="3"/>
        <v>975</v>
      </c>
      <c r="J41" s="6">
        <f t="shared" si="4"/>
        <v>146.25</v>
      </c>
      <c r="K41" s="76">
        <f t="shared" si="5"/>
        <v>1121.25</v>
      </c>
      <c r="L41" s="17" t="s">
        <v>25</v>
      </c>
      <c r="M41" s="10"/>
      <c r="N41" s="26"/>
      <c r="O41" s="26"/>
      <c r="P41" s="10"/>
    </row>
    <row r="42" spans="1:16" x14ac:dyDescent="0.3">
      <c r="A42" s="2">
        <v>45956</v>
      </c>
      <c r="B42" s="5">
        <v>1033</v>
      </c>
      <c r="C42" s="5"/>
      <c r="D42" s="1" t="s">
        <v>23</v>
      </c>
      <c r="E42" s="5" t="s">
        <v>11</v>
      </c>
      <c r="F42" s="6"/>
      <c r="G42" s="6">
        <v>172</v>
      </c>
      <c r="H42" s="6">
        <v>250</v>
      </c>
      <c r="I42" s="6">
        <f t="shared" si="3"/>
        <v>43000</v>
      </c>
      <c r="J42" s="6">
        <f t="shared" si="4"/>
        <v>6450</v>
      </c>
      <c r="K42" s="76">
        <f t="shared" si="5"/>
        <v>49450</v>
      </c>
      <c r="L42" s="60" t="s">
        <v>25</v>
      </c>
      <c r="M42" s="57"/>
      <c r="N42" s="26"/>
      <c r="O42" s="26"/>
      <c r="P42" s="10"/>
    </row>
    <row r="43" spans="1:16" x14ac:dyDescent="0.3">
      <c r="A43" s="2">
        <v>45958</v>
      </c>
      <c r="B43" s="5">
        <v>1034</v>
      </c>
      <c r="C43" s="5"/>
      <c r="D43" s="5" t="s">
        <v>47</v>
      </c>
      <c r="E43" s="1" t="s">
        <v>18</v>
      </c>
      <c r="F43" s="6"/>
      <c r="G43" s="6">
        <v>333</v>
      </c>
      <c r="H43" s="45">
        <v>1</v>
      </c>
      <c r="I43" s="6">
        <f t="shared" si="3"/>
        <v>333</v>
      </c>
      <c r="J43" s="6">
        <f t="shared" si="4"/>
        <v>49.949999999999996</v>
      </c>
      <c r="K43" s="76">
        <f t="shared" si="5"/>
        <v>382.95</v>
      </c>
      <c r="L43" s="17" t="s">
        <v>25</v>
      </c>
      <c r="N43" s="26"/>
      <c r="O43" s="26"/>
      <c r="P43" s="10"/>
    </row>
    <row r="44" spans="1:16" x14ac:dyDescent="0.3">
      <c r="A44" s="2">
        <v>45958</v>
      </c>
      <c r="B44" s="5">
        <v>1034</v>
      </c>
      <c r="C44" s="5"/>
      <c r="D44" s="5" t="s">
        <v>47</v>
      </c>
      <c r="E44" s="5" t="s">
        <v>17</v>
      </c>
      <c r="F44" s="6"/>
      <c r="G44" s="6">
        <v>283</v>
      </c>
      <c r="H44" s="45">
        <v>1</v>
      </c>
      <c r="I44" s="6">
        <f t="shared" si="3"/>
        <v>283</v>
      </c>
      <c r="J44" s="6">
        <f t="shared" si="4"/>
        <v>42.449999999999996</v>
      </c>
      <c r="K44" s="76">
        <f t="shared" si="5"/>
        <v>325.45</v>
      </c>
      <c r="L44" s="17" t="s">
        <v>25</v>
      </c>
      <c r="N44" s="26"/>
      <c r="O44" s="26"/>
      <c r="P44" s="10"/>
    </row>
    <row r="45" spans="1:16" x14ac:dyDescent="0.3">
      <c r="A45" s="2">
        <v>45959</v>
      </c>
      <c r="B45" s="5">
        <v>1035</v>
      </c>
      <c r="C45" s="5"/>
      <c r="D45" s="5" t="s">
        <v>30</v>
      </c>
      <c r="E45" s="1" t="s">
        <v>20</v>
      </c>
      <c r="F45" s="6">
        <v>5</v>
      </c>
      <c r="G45" s="6">
        <v>46.5</v>
      </c>
      <c r="H45" s="41">
        <v>64.790000000000006</v>
      </c>
      <c r="I45" s="6">
        <f t="shared" si="3"/>
        <v>3012.7350000000001</v>
      </c>
      <c r="J45" s="6">
        <f t="shared" si="4"/>
        <v>451.91025000000002</v>
      </c>
      <c r="K45" s="76">
        <f t="shared" si="5"/>
        <v>3464.64525</v>
      </c>
      <c r="L45" s="17" t="s">
        <v>25</v>
      </c>
      <c r="N45" s="26"/>
      <c r="O45" s="26"/>
      <c r="P45" s="10"/>
    </row>
    <row r="46" spans="1:16" x14ac:dyDescent="0.3">
      <c r="A46" s="47">
        <v>45959</v>
      </c>
      <c r="B46" s="48">
        <v>1036</v>
      </c>
      <c r="C46" s="48"/>
      <c r="D46" s="48" t="s">
        <v>30</v>
      </c>
      <c r="E46" s="48" t="s">
        <v>64</v>
      </c>
      <c r="F46" s="49">
        <v>50</v>
      </c>
      <c r="G46" s="49">
        <v>76</v>
      </c>
      <c r="H46" s="50"/>
      <c r="I46" s="49">
        <f t="shared" si="3"/>
        <v>0</v>
      </c>
      <c r="J46" s="49">
        <f t="shared" si="4"/>
        <v>0</v>
      </c>
      <c r="K46" s="51">
        <f t="shared" si="5"/>
        <v>0</v>
      </c>
      <c r="L46" s="46" t="s">
        <v>68</v>
      </c>
      <c r="M46" s="52"/>
      <c r="N46" s="53"/>
      <c r="O46" s="53" t="s">
        <v>71</v>
      </c>
      <c r="P46" s="10"/>
    </row>
    <row r="47" spans="1:16" x14ac:dyDescent="0.3">
      <c r="A47" s="2">
        <v>45959</v>
      </c>
      <c r="B47" s="5" t="s">
        <v>66</v>
      </c>
      <c r="C47" s="5"/>
      <c r="D47" s="5" t="s">
        <v>65</v>
      </c>
      <c r="E47" s="5" t="s">
        <v>17</v>
      </c>
      <c r="F47" s="6">
        <v>5</v>
      </c>
      <c r="G47" s="6">
        <v>280</v>
      </c>
      <c r="H47" s="45">
        <v>5</v>
      </c>
      <c r="I47" s="6">
        <f t="shared" si="3"/>
        <v>1400</v>
      </c>
      <c r="J47" s="6">
        <f t="shared" si="4"/>
        <v>210</v>
      </c>
      <c r="K47" s="76">
        <f t="shared" si="5"/>
        <v>1610</v>
      </c>
      <c r="L47" s="17" t="s">
        <v>25</v>
      </c>
      <c r="N47" s="26"/>
      <c r="O47" s="26"/>
      <c r="P47" s="10"/>
    </row>
    <row r="48" spans="1:16" x14ac:dyDescent="0.3">
      <c r="A48" s="2">
        <v>45960</v>
      </c>
      <c r="B48" s="5">
        <v>1037</v>
      </c>
      <c r="C48" s="5"/>
      <c r="D48" s="5" t="s">
        <v>67</v>
      </c>
      <c r="E48" s="5" t="s">
        <v>17</v>
      </c>
      <c r="F48" s="6">
        <v>30</v>
      </c>
      <c r="G48" s="6">
        <v>284</v>
      </c>
      <c r="H48" s="45">
        <v>30</v>
      </c>
      <c r="I48" s="6">
        <f t="shared" si="3"/>
        <v>8520</v>
      </c>
      <c r="J48" s="6">
        <f t="shared" si="4"/>
        <v>1278</v>
      </c>
      <c r="K48" s="76">
        <f t="shared" si="5"/>
        <v>9798</v>
      </c>
      <c r="L48" s="17" t="s">
        <v>25</v>
      </c>
      <c r="N48" s="26"/>
      <c r="O48" s="26"/>
      <c r="P48" s="10"/>
    </row>
    <row r="49" spans="1:16" x14ac:dyDescent="0.3">
      <c r="A49" s="2">
        <v>45960</v>
      </c>
      <c r="B49" s="5" t="s">
        <v>66</v>
      </c>
      <c r="C49" s="5"/>
      <c r="D49" s="5" t="s">
        <v>65</v>
      </c>
      <c r="E49" s="5" t="s">
        <v>17</v>
      </c>
      <c r="F49" s="6">
        <v>5</v>
      </c>
      <c r="G49" s="6">
        <v>280</v>
      </c>
      <c r="H49" s="45">
        <v>5</v>
      </c>
      <c r="I49" s="6">
        <f t="shared" si="3"/>
        <v>1400</v>
      </c>
      <c r="J49" s="6">
        <f t="shared" si="4"/>
        <v>210</v>
      </c>
      <c r="K49" s="55">
        <f t="shared" si="5"/>
        <v>1610</v>
      </c>
      <c r="L49" s="58" t="s">
        <v>25</v>
      </c>
      <c r="M49" s="57"/>
      <c r="N49" s="26"/>
      <c r="O49" s="26"/>
      <c r="P49" s="10"/>
    </row>
    <row r="50" spans="1:16" x14ac:dyDescent="0.3">
      <c r="A50" s="2">
        <v>45960</v>
      </c>
      <c r="B50" s="5">
        <v>1038</v>
      </c>
      <c r="C50" s="5"/>
      <c r="D50" s="5" t="s">
        <v>47</v>
      </c>
      <c r="E50" s="1" t="s">
        <v>18</v>
      </c>
      <c r="F50" s="6">
        <v>1</v>
      </c>
      <c r="G50" s="6">
        <v>335</v>
      </c>
      <c r="H50" s="45">
        <v>1</v>
      </c>
      <c r="I50" s="6">
        <f t="shared" si="3"/>
        <v>335</v>
      </c>
      <c r="J50" s="6">
        <f t="shared" si="4"/>
        <v>50.25</v>
      </c>
      <c r="K50" s="55">
        <f t="shared" si="5"/>
        <v>385.25</v>
      </c>
      <c r="L50" s="58" t="s">
        <v>25</v>
      </c>
      <c r="M50" s="57"/>
      <c r="N50" s="26"/>
      <c r="O50" s="26"/>
      <c r="P50" s="10"/>
    </row>
    <row r="51" spans="1:16" x14ac:dyDescent="0.3">
      <c r="A51" s="2"/>
      <c r="B51" s="5"/>
      <c r="C51" s="5"/>
      <c r="D51" s="5"/>
      <c r="E51" s="1"/>
      <c r="F51" s="6"/>
      <c r="G51" s="6"/>
      <c r="H51" s="45"/>
      <c r="I51" s="6">
        <f t="shared" si="3"/>
        <v>0</v>
      </c>
      <c r="J51" s="6">
        <f t="shared" si="4"/>
        <v>0</v>
      </c>
      <c r="K51" s="3">
        <f t="shared" si="5"/>
        <v>0</v>
      </c>
      <c r="L51" s="4"/>
      <c r="M51" s="10"/>
      <c r="N51" s="26"/>
      <c r="O51" s="26"/>
      <c r="P51" s="10"/>
    </row>
    <row r="52" spans="1:16" x14ac:dyDescent="0.3">
      <c r="A52" s="2"/>
      <c r="B52" s="5"/>
      <c r="C52" s="5"/>
      <c r="D52" s="5"/>
      <c r="E52" s="5"/>
      <c r="F52" s="6"/>
      <c r="G52" s="6"/>
      <c r="H52" s="45"/>
      <c r="I52" s="6">
        <f t="shared" si="3"/>
        <v>0</v>
      </c>
      <c r="J52" s="6">
        <f t="shared" si="4"/>
        <v>0</v>
      </c>
      <c r="K52" s="13">
        <f t="shared" si="5"/>
        <v>0</v>
      </c>
      <c r="L52" s="17"/>
      <c r="N52" s="26"/>
      <c r="O52" s="26"/>
      <c r="P52" s="10"/>
    </row>
    <row r="53" spans="1:16" x14ac:dyDescent="0.3">
      <c r="A53" s="2"/>
      <c r="B53" s="5"/>
      <c r="C53" s="5"/>
      <c r="D53" s="5"/>
      <c r="E53" s="1"/>
      <c r="F53" s="6"/>
      <c r="G53" s="6"/>
      <c r="H53" s="45"/>
      <c r="I53" s="6">
        <f t="shared" si="3"/>
        <v>0</v>
      </c>
      <c r="J53" s="6">
        <f t="shared" si="4"/>
        <v>0</v>
      </c>
      <c r="K53" s="13">
        <f t="shared" si="5"/>
        <v>0</v>
      </c>
      <c r="L53" s="17"/>
      <c r="N53" s="26"/>
      <c r="O53" s="26"/>
      <c r="P53" s="10"/>
    </row>
    <row r="54" spans="1:16" x14ac:dyDescent="0.3">
      <c r="A54" s="2"/>
      <c r="B54" s="5"/>
      <c r="C54" s="5"/>
      <c r="D54" s="5"/>
      <c r="E54" s="1"/>
      <c r="F54" s="6"/>
      <c r="G54" s="6"/>
      <c r="H54" s="45"/>
      <c r="I54" s="6">
        <f t="shared" si="3"/>
        <v>0</v>
      </c>
      <c r="J54" s="6">
        <f t="shared" si="4"/>
        <v>0</v>
      </c>
      <c r="K54" s="13">
        <f t="shared" si="5"/>
        <v>0</v>
      </c>
      <c r="L54" s="17"/>
      <c r="N54" s="26"/>
      <c r="O54" s="26"/>
      <c r="P54" s="10"/>
    </row>
    <row r="55" spans="1:16" x14ac:dyDescent="0.3">
      <c r="A55" s="2"/>
      <c r="B55" s="5"/>
      <c r="C55" s="5"/>
      <c r="D55" s="1"/>
      <c r="E55" s="5"/>
      <c r="F55" s="6"/>
      <c r="G55" s="6"/>
      <c r="H55" s="41"/>
      <c r="I55" s="6">
        <f t="shared" si="3"/>
        <v>0</v>
      </c>
      <c r="J55" s="6">
        <f t="shared" si="4"/>
        <v>0</v>
      </c>
      <c r="K55" s="13">
        <f t="shared" si="5"/>
        <v>0</v>
      </c>
      <c r="L55" s="17"/>
      <c r="N55" s="26"/>
      <c r="O55" s="26"/>
      <c r="P55" s="10"/>
    </row>
    <row r="56" spans="1:16" x14ac:dyDescent="0.3">
      <c r="A56" s="2"/>
      <c r="B56" s="5"/>
      <c r="C56" s="5"/>
      <c r="D56" s="5"/>
      <c r="E56" s="5"/>
      <c r="F56" s="6"/>
      <c r="G56" s="6"/>
      <c r="H56" s="41"/>
      <c r="I56" s="6">
        <f t="shared" ref="I56:I61" si="6">H56*G56</f>
        <v>0</v>
      </c>
      <c r="J56" s="6">
        <f t="shared" ref="J56:J61" si="7">I56*15%</f>
        <v>0</v>
      </c>
      <c r="K56" s="13">
        <f t="shared" ref="K56:K61" si="8">I56+J56</f>
        <v>0</v>
      </c>
      <c r="L56" s="17"/>
      <c r="N56" s="26"/>
      <c r="O56" s="26"/>
      <c r="P56" s="10"/>
    </row>
    <row r="57" spans="1:16" x14ac:dyDescent="0.3">
      <c r="A57" s="2"/>
      <c r="B57" s="5"/>
      <c r="C57" s="5"/>
      <c r="D57" s="5"/>
      <c r="E57" s="5"/>
      <c r="F57" s="6"/>
      <c r="G57" s="6"/>
      <c r="H57" s="41"/>
      <c r="I57" s="6">
        <f t="shared" si="6"/>
        <v>0</v>
      </c>
      <c r="J57" s="6">
        <f t="shared" si="7"/>
        <v>0</v>
      </c>
      <c r="K57" s="13">
        <f t="shared" si="8"/>
        <v>0</v>
      </c>
      <c r="L57" s="17"/>
      <c r="N57" s="26"/>
      <c r="O57" s="26"/>
      <c r="P57" s="10"/>
    </row>
    <row r="58" spans="1:16" x14ac:dyDescent="0.3">
      <c r="A58" s="2"/>
      <c r="B58" s="5"/>
      <c r="C58" s="5"/>
      <c r="D58" s="5"/>
      <c r="E58" s="5"/>
      <c r="F58" s="6"/>
      <c r="G58" s="6"/>
      <c r="H58" s="41"/>
      <c r="I58" s="6">
        <f t="shared" si="6"/>
        <v>0</v>
      </c>
      <c r="J58" s="6">
        <f t="shared" si="7"/>
        <v>0</v>
      </c>
      <c r="K58" s="13">
        <f t="shared" si="8"/>
        <v>0</v>
      </c>
      <c r="L58" s="17"/>
      <c r="N58" s="26"/>
      <c r="O58" s="26"/>
      <c r="P58" s="10"/>
    </row>
    <row r="59" spans="1:16" x14ac:dyDescent="0.3">
      <c r="A59" s="2"/>
      <c r="B59" s="5"/>
      <c r="C59" s="5"/>
      <c r="D59" s="5"/>
      <c r="E59" s="5"/>
      <c r="F59" s="6"/>
      <c r="G59" s="6"/>
      <c r="H59" s="41"/>
      <c r="I59" s="6">
        <f t="shared" si="6"/>
        <v>0</v>
      </c>
      <c r="J59" s="6">
        <f t="shared" si="7"/>
        <v>0</v>
      </c>
      <c r="K59" s="13">
        <f t="shared" si="8"/>
        <v>0</v>
      </c>
      <c r="L59" s="17"/>
      <c r="N59" s="26"/>
      <c r="O59" s="26"/>
      <c r="P59" s="10"/>
    </row>
    <row r="60" spans="1:16" x14ac:dyDescent="0.3">
      <c r="A60" s="2"/>
      <c r="B60" s="5"/>
      <c r="C60" s="5"/>
      <c r="D60" s="5"/>
      <c r="E60" s="5"/>
      <c r="F60" s="6"/>
      <c r="G60" s="6"/>
      <c r="H60" s="41"/>
      <c r="I60" s="6">
        <f t="shared" si="6"/>
        <v>0</v>
      </c>
      <c r="J60" s="6">
        <f t="shared" si="7"/>
        <v>0</v>
      </c>
      <c r="K60" s="13">
        <f t="shared" si="8"/>
        <v>0</v>
      </c>
      <c r="L60" s="17"/>
      <c r="N60" s="26"/>
      <c r="O60" s="26"/>
      <c r="P60" s="10"/>
    </row>
    <row r="61" spans="1:16" x14ac:dyDescent="0.3">
      <c r="A61" s="2"/>
      <c r="B61" s="5"/>
      <c r="C61" s="5"/>
      <c r="D61" s="5"/>
      <c r="E61" s="5"/>
      <c r="F61" s="6"/>
      <c r="G61" s="6"/>
      <c r="H61" s="6"/>
      <c r="I61" s="6">
        <f t="shared" si="6"/>
        <v>0</v>
      </c>
      <c r="J61" s="6">
        <f t="shared" si="7"/>
        <v>0</v>
      </c>
      <c r="K61" s="13">
        <f t="shared" si="8"/>
        <v>0</v>
      </c>
      <c r="L61" s="17"/>
      <c r="N61" s="26"/>
      <c r="O61" s="26"/>
      <c r="P61" s="10"/>
    </row>
    <row r="62" spans="1:16" x14ac:dyDescent="0.3">
      <c r="A62" s="12"/>
      <c r="B62" s="5"/>
      <c r="C62" s="5"/>
      <c r="D62" s="5"/>
      <c r="E62" s="5"/>
      <c r="F62" s="6"/>
      <c r="G62" s="13"/>
      <c r="H62" s="54">
        <f>SUBTOTAL(9,H3:H61)</f>
        <v>10384.620000000003</v>
      </c>
      <c r="I62" s="14">
        <f>SUBTOTAL(9,I3:I61)</f>
        <v>495774.16749999998</v>
      </c>
      <c r="J62" s="14">
        <f>SUBTOTAL(9,J3:J61)</f>
        <v>74366.125124999977</v>
      </c>
      <c r="K62" s="14">
        <f>SUBTOTAL(9,K3:K61)</f>
        <v>570140.29262499977</v>
      </c>
      <c r="L62" s="7"/>
      <c r="N62" s="26"/>
      <c r="O62" s="26"/>
    </row>
    <row r="63" spans="1:16" x14ac:dyDescent="0.3">
      <c r="I63" s="11">
        <f>I62/H62</f>
        <v>47.741194911320768</v>
      </c>
    </row>
    <row r="65" spans="1:13" x14ac:dyDescent="0.3">
      <c r="A65" s="20">
        <v>45956</v>
      </c>
      <c r="B65" s="21"/>
      <c r="C65" s="21"/>
      <c r="D65" s="22" t="s">
        <v>52</v>
      </c>
      <c r="E65" s="22" t="s">
        <v>50</v>
      </c>
      <c r="F65" s="22"/>
      <c r="G65" s="22"/>
      <c r="H65" s="22">
        <v>3</v>
      </c>
      <c r="I65" s="22">
        <v>161</v>
      </c>
      <c r="J65" s="22"/>
      <c r="K65" s="22">
        <f>H65*I65</f>
        <v>483</v>
      </c>
      <c r="L65" s="22"/>
      <c r="M65" s="21" t="s">
        <v>53</v>
      </c>
    </row>
    <row r="66" spans="1:13" x14ac:dyDescent="0.3">
      <c r="A66" s="20">
        <v>45956</v>
      </c>
      <c r="B66" s="21"/>
      <c r="C66" s="21"/>
      <c r="D66" s="22" t="s">
        <v>52</v>
      </c>
      <c r="E66" s="22" t="s">
        <v>51</v>
      </c>
      <c r="F66" s="22"/>
      <c r="G66" s="23"/>
      <c r="H66" s="44">
        <v>8</v>
      </c>
      <c r="I66" s="23">
        <v>160</v>
      </c>
      <c r="J66" s="22"/>
      <c r="K66" s="22">
        <f>H66*I66</f>
        <v>1280</v>
      </c>
      <c r="L66" s="22"/>
      <c r="M66" s="21" t="s">
        <v>53</v>
      </c>
    </row>
    <row r="67" spans="1:13" x14ac:dyDescent="0.3">
      <c r="A67" s="20">
        <v>45948</v>
      </c>
      <c r="B67" s="21"/>
      <c r="C67" s="21"/>
      <c r="D67" s="22" t="s">
        <v>40</v>
      </c>
      <c r="E67" s="22" t="s">
        <v>17</v>
      </c>
      <c r="F67" s="22"/>
      <c r="G67" s="23"/>
      <c r="H67" s="44">
        <v>5</v>
      </c>
      <c r="I67" s="23">
        <v>279</v>
      </c>
      <c r="J67" s="22"/>
      <c r="K67" s="22">
        <f>H67*I67</f>
        <v>1395</v>
      </c>
      <c r="L67" s="22"/>
      <c r="M67" s="21" t="s">
        <v>61</v>
      </c>
    </row>
  </sheetData>
  <autoFilter ref="A2:O55" xr:uid="{DCD2B92A-8028-4E60-9234-C6771C50FB54}"/>
  <pageMargins left="0.12" right="0.13" top="0.75" bottom="0.75" header="0.3" footer="0.3"/>
  <pageSetup paperSize="9" scale="73" orientation="landscape" r:id="rId1"/>
  <colBreaks count="2" manualBreakCount="2">
    <brk id="13" max="1048575" man="1"/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المشتريات</vt:lpstr>
      <vt:lpstr>مبيعات شهر ديسمبر</vt:lpstr>
      <vt:lpstr>مبيعات شهر نوفمبر</vt:lpstr>
      <vt:lpstr>مبيعات شهر اكتوبر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</dc:creator>
  <cp:lastModifiedBy>tarek habbash</cp:lastModifiedBy>
  <cp:lastPrinted>2026-01-26T11:13:26Z</cp:lastPrinted>
  <dcterms:created xsi:type="dcterms:W3CDTF">2015-06-05T18:17:20Z</dcterms:created>
  <dcterms:modified xsi:type="dcterms:W3CDTF">2026-06-22T14:42:21Z</dcterms:modified>
</cp:coreProperties>
</file>